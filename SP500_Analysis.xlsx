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xxpla\Desktop\Εργασία\"/>
    </mc:Choice>
  </mc:AlternateContent>
  <xr:revisionPtr revIDLastSave="0" documentId="13_ncr:1_{0DF5AFD2-4976-4D38-99AC-F1C3BEEDB2F4}" xr6:coauthVersionLast="47" xr6:coauthVersionMax="47" xr10:uidLastSave="{00000000-0000-0000-0000-000000000000}"/>
  <bookViews>
    <workbookView xWindow="-98" yWindow="-98" windowWidth="19396" windowHeight="10276" tabRatio="643" firstSheet="3" activeTab="7" xr2:uid="{00000000-000D-0000-FFFF-FFFF00000000}"/>
  </bookViews>
  <sheets>
    <sheet name="constituents-financials_csv" sheetId="2" r:id="rId1"/>
    <sheet name="Pivot Charts with Slicer" sheetId="3" r:id="rId2"/>
    <sheet name="Pivot Chart" sheetId="4" r:id="rId3"/>
    <sheet name="Pareto" sheetId="5" r:id="rId4"/>
    <sheet name="Forecasting Data" sheetId="10" r:id="rId5"/>
    <sheet name="Model 1" sheetId="16" r:id="rId6"/>
    <sheet name="Model 2" sheetId="17" r:id="rId7"/>
    <sheet name="Model 3" sheetId="18" r:id="rId8"/>
  </sheets>
  <definedNames>
    <definedName name="_xlnm._FilterDatabase" localSheetId="4" hidden="1">'Forecasting Data'!$E$1:$E$496</definedName>
    <definedName name="_xlchart.v1.0" hidden="1">Pareto!$A$2:$A$12</definedName>
    <definedName name="_xlchart.v1.1" hidden="1">Pareto!$B$1</definedName>
    <definedName name="_xlchart.v1.2" hidden="1">Pareto!$B$2:$B$12</definedName>
    <definedName name="_xlchart.v1.3" hidden="1">Pareto!$C$1</definedName>
    <definedName name="_xlchart.v1.4" hidden="1">Pareto!$C$2:$C$12</definedName>
    <definedName name="_xlchart.v1.5" hidden="1">Pareto!$A$2:$A$12</definedName>
    <definedName name="_xlchart.v1.6" hidden="1">Pareto!$B$1</definedName>
    <definedName name="_xlchart.v1.7" hidden="1">Pareto!$B$2:$B$12</definedName>
    <definedName name="_xlchart.v1.8" hidden="1">Pareto!$C$1</definedName>
    <definedName name="_xlchart.v1.9" hidden="1">Pareto!$C$2:$C$12</definedName>
    <definedName name="ExternalData_1" localSheetId="0" hidden="1">'constituents-financials_csv'!$A$1:$P$506</definedName>
    <definedName name="Slicer_Sector">#N/A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 i="10" l="1" a="1"/>
  <c r="U4" i="10" s="1"/>
  <c r="U3" i="10" a="1"/>
  <c r="U3" i="10" s="1"/>
  <c r="U2" i="10" a="1"/>
  <c r="U2" i="10" s="1"/>
  <c r="T4" i="10"/>
  <c r="T3" i="10"/>
  <c r="T2" i="10"/>
  <c r="C12" i="5" l="1"/>
  <c r="C11" i="5"/>
  <c r="C10" i="5"/>
  <c r="C9" i="5"/>
  <c r="C8" i="5"/>
  <c r="C7" i="5"/>
  <c r="C6" i="5"/>
  <c r="C5" i="5"/>
  <c r="C4" i="5"/>
  <c r="C3" i="5"/>
  <c r="C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1CD1CB-9FB8-4B1F-A360-6C9553FBB5EA}" keepAlive="1" name="Query - constituents-financials_csv" description="Connection to the 'constituents-financials_csv' query in the workbook." type="5" refreshedVersion="8" background="1" saveData="1">
    <dbPr connection="Provider=Microsoft.Mashup.OleDb.1;Data Source=$Workbook$;Location=constituents-financials_csv;Extended Properties=&quot;&quot;" command="SELECT * FROM [constituents-financials_csv]"/>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<sst xmlns="http://schemas.openxmlformats.org/spreadsheetml/2006/main" count="2233" uniqueCount="1585">
  <si>
    <t>Symbol</t>
  </si>
  <si>
    <t>Name</t>
  </si>
  <si>
    <t>Sector</t>
  </si>
  <si>
    <t>Price</t>
  </si>
  <si>
    <t>Price/Earnings</t>
  </si>
  <si>
    <t>Dividend Yield</t>
  </si>
  <si>
    <t>Earnings/Share</t>
  </si>
  <si>
    <t>52 Week High</t>
  </si>
  <si>
    <t>52 Week Low</t>
  </si>
  <si>
    <t>Market Cap</t>
  </si>
  <si>
    <t>EBITDA</t>
  </si>
  <si>
    <t>Price/Sales</t>
  </si>
  <si>
    <t>Price/Book</t>
  </si>
  <si>
    <t>SEC Filings</t>
  </si>
  <si>
    <t>Market Cap (bn)</t>
  </si>
  <si>
    <t>EBITDA (bn)</t>
  </si>
  <si>
    <t>MMM</t>
  </si>
  <si>
    <t>3M Company</t>
  </si>
  <si>
    <t>Industrials</t>
  </si>
  <si>
    <t>http://www.sec.gov/cgi-bin/browse-edgar?action=getcompany&amp;CIK=MMM</t>
  </si>
  <si>
    <t>AOS</t>
  </si>
  <si>
    <t>A.O. Smith Corp</t>
  </si>
  <si>
    <t>http://www.sec.gov/cgi-bin/browse-edgar?action=getcompany&amp;CIK=AOS</t>
  </si>
  <si>
    <t>ABT</t>
  </si>
  <si>
    <t>Abbott Laboratories</t>
  </si>
  <si>
    <t>Health Care</t>
  </si>
  <si>
    <t>http://www.sec.gov/cgi-bin/browse-edgar?action=getcompany&amp;CIK=ABT</t>
  </si>
  <si>
    <t>ABBV</t>
  </si>
  <si>
    <t>AbbVie Inc.</t>
  </si>
  <si>
    <t>http://www.sec.gov/cgi-bin/browse-edgar?action=getcompany&amp;CIK=ABBV</t>
  </si>
  <si>
    <t>ACN</t>
  </si>
  <si>
    <t>Accenture plc</t>
  </si>
  <si>
    <t>Information Technology</t>
  </si>
  <si>
    <t>http://www.sec.gov/cgi-bin/browse-edgar?action=getcompany&amp;CIK=ACN</t>
  </si>
  <si>
    <t>ATVI</t>
  </si>
  <si>
    <t>Activision Blizzard</t>
  </si>
  <si>
    <t>http://www.sec.gov/cgi-bin/browse-edgar?action=getcompany&amp;CIK=ATVI</t>
  </si>
  <si>
    <t>AYI</t>
  </si>
  <si>
    <t>Acuity Brands Inc</t>
  </si>
  <si>
    <t>http://www.sec.gov/cgi-bin/browse-edgar?action=getcompany&amp;CIK=AYI</t>
  </si>
  <si>
    <t>ADBE</t>
  </si>
  <si>
    <t>Adobe Systems Inc</t>
  </si>
  <si>
    <t>http://www.sec.gov/cgi-bin/browse-edgar?action=getcompany&amp;CIK=ADBE</t>
  </si>
  <si>
    <t>AAP</t>
  </si>
  <si>
    <t>Advance Auto Parts</t>
  </si>
  <si>
    <t>Consumer Discretionary</t>
  </si>
  <si>
    <t>http://www.sec.gov/cgi-bin/browse-edgar?action=getcompany&amp;CIK=AAP</t>
  </si>
  <si>
    <t>AMD</t>
  </si>
  <si>
    <t>Advanced Micro Devices Inc</t>
  </si>
  <si>
    <t>http://www.sec.gov/cgi-bin/browse-edgar?action=getcompany&amp;CIK=AMD</t>
  </si>
  <si>
    <t>AES</t>
  </si>
  <si>
    <t>AES Corp</t>
  </si>
  <si>
    <t>Utilities</t>
  </si>
  <si>
    <t>http://www.sec.gov/cgi-bin/browse-edgar?action=getcompany&amp;CIK=AES</t>
  </si>
  <si>
    <t>AET</t>
  </si>
  <si>
    <t>Aetna Inc</t>
  </si>
  <si>
    <t>http://www.sec.gov/cgi-bin/browse-edgar?action=getcompany&amp;CIK=AET</t>
  </si>
  <si>
    <t>AMG</t>
  </si>
  <si>
    <t>Affiliated Managers Group Inc</t>
  </si>
  <si>
    <t>Financials</t>
  </si>
  <si>
    <t>http://www.sec.gov/cgi-bin/browse-edgar?action=getcompany&amp;CIK=AMG</t>
  </si>
  <si>
    <t>AFL</t>
  </si>
  <si>
    <t>AFLAC Inc</t>
  </si>
  <si>
    <t>http://www.sec.gov/cgi-bin/browse-edgar?action=getcompany&amp;CIK=AFL</t>
  </si>
  <si>
    <t>A</t>
  </si>
  <si>
    <t>Agilent Technologies Inc</t>
  </si>
  <si>
    <t>http://www.sec.gov/cgi-bin/browse-edgar?action=getcompany&amp;CIK=A</t>
  </si>
  <si>
    <t>APD</t>
  </si>
  <si>
    <t>Air Products &amp; Chemicals Inc</t>
  </si>
  <si>
    <t>Materials</t>
  </si>
  <si>
    <t>http://www.sec.gov/cgi-bin/browse-edgar?action=getcompany&amp;CIK=APD</t>
  </si>
  <si>
    <t>AKAM</t>
  </si>
  <si>
    <t>Akamai Technologies Inc</t>
  </si>
  <si>
    <t>http://www.sec.gov/cgi-bin/browse-edgar?action=getcompany&amp;CIK=AKAM</t>
  </si>
  <si>
    <t>ALK</t>
  </si>
  <si>
    <t>Alaska Air Group Inc</t>
  </si>
  <si>
    <t>http://www.sec.gov/cgi-bin/browse-edgar?action=getcompany&amp;CIK=ALK</t>
  </si>
  <si>
    <t>ALB</t>
  </si>
  <si>
    <t>Albemarle Corp</t>
  </si>
  <si>
    <t>http://www.sec.gov/cgi-bin/browse-edgar?action=getcompany&amp;CIK=ALB</t>
  </si>
  <si>
    <t>ARE</t>
  </si>
  <si>
    <t>Alexandria Real Estate Equities Inc</t>
  </si>
  <si>
    <t>Real Estate</t>
  </si>
  <si>
    <t>http://www.sec.gov/cgi-bin/browse-edgar?action=getcompany&amp;CIK=ARE</t>
  </si>
  <si>
    <t>ALXN</t>
  </si>
  <si>
    <t>Alexion Pharmaceuticals</t>
  </si>
  <si>
    <t>http://www.sec.gov/cgi-bin/browse-edgar?action=getcompany&amp;CIK=ALXN</t>
  </si>
  <si>
    <t>ALGN</t>
  </si>
  <si>
    <t>Align Technology</t>
  </si>
  <si>
    <t>http://www.sec.gov/cgi-bin/browse-edgar?action=getcompany&amp;CIK=ALGN</t>
  </si>
  <si>
    <t>ALLE</t>
  </si>
  <si>
    <t>Allegion</t>
  </si>
  <si>
    <t>http://www.sec.gov/cgi-bin/browse-edgar?action=getcompany&amp;CIK=ALLE</t>
  </si>
  <si>
    <t>AGN</t>
  </si>
  <si>
    <t>Allergan, Plc</t>
  </si>
  <si>
    <t>http://www.sec.gov/cgi-bin/browse-edgar?action=getcompany&amp;CIK=AGN</t>
  </si>
  <si>
    <t>ADS</t>
  </si>
  <si>
    <t>Alliance Data Systems</t>
  </si>
  <si>
    <t>http://www.sec.gov/cgi-bin/browse-edgar?action=getcompany&amp;CIK=ADS</t>
  </si>
  <si>
    <t>LNT</t>
  </si>
  <si>
    <t>Alliant Energy Corp</t>
  </si>
  <si>
    <t>http://www.sec.gov/cgi-bin/browse-edgar?action=getcompany&amp;CIK=LNT</t>
  </si>
  <si>
    <t>ALL</t>
  </si>
  <si>
    <t>Allstate Corp</t>
  </si>
  <si>
    <t>http://www.sec.gov/cgi-bin/browse-edgar?action=getcompany&amp;CIK=ALL</t>
  </si>
  <si>
    <t>GOOGL</t>
  </si>
  <si>
    <t>Alphabet Inc Class A</t>
  </si>
  <si>
    <t>http://www.sec.gov/cgi-bin/browse-edgar?action=getcompany&amp;CIK=GOOGL</t>
  </si>
  <si>
    <t>GOOG</t>
  </si>
  <si>
    <t>Alphabet Inc Class C</t>
  </si>
  <si>
    <t>http://www.sec.gov/cgi-bin/browse-edgar?action=getcompany&amp;CIK=GOOG</t>
  </si>
  <si>
    <t>MO</t>
  </si>
  <si>
    <t>Altria Group Inc</t>
  </si>
  <si>
    <t>Consumer Staples</t>
  </si>
  <si>
    <t>http://www.sec.gov/cgi-bin/browse-edgar?action=getcompany&amp;CIK=MO</t>
  </si>
  <si>
    <t>AMZN</t>
  </si>
  <si>
    <t>Amazon.com Inc</t>
  </si>
  <si>
    <t>http://www.sec.gov/cgi-bin/browse-edgar?action=getcompany&amp;CIK=AMZN</t>
  </si>
  <si>
    <t>AEE</t>
  </si>
  <si>
    <t>Ameren Corp</t>
  </si>
  <si>
    <t>http://www.sec.gov/cgi-bin/browse-edgar?action=getcompany&amp;CIK=AEE</t>
  </si>
  <si>
    <t>AAL</t>
  </si>
  <si>
    <t>American Airlines Group</t>
  </si>
  <si>
    <t>http://www.sec.gov/cgi-bin/browse-edgar?action=getcompany&amp;CIK=AAL</t>
  </si>
  <si>
    <t>AEP</t>
  </si>
  <si>
    <t>American Electric Power</t>
  </si>
  <si>
    <t>http://www.sec.gov/cgi-bin/browse-edgar?action=getcompany&amp;CIK=AEP</t>
  </si>
  <si>
    <t>AXP</t>
  </si>
  <si>
    <t>American Express Co</t>
  </si>
  <si>
    <t>http://www.sec.gov/cgi-bin/browse-edgar?action=getcompany&amp;CIK=AXP</t>
  </si>
  <si>
    <t>AIG</t>
  </si>
  <si>
    <t>American International Group, Inc.</t>
  </si>
  <si>
    <t>http://www.sec.gov/cgi-bin/browse-edgar?action=getcompany&amp;CIK=AIG</t>
  </si>
  <si>
    <t>AMT</t>
  </si>
  <si>
    <t>American Tower Corp A</t>
  </si>
  <si>
    <t>http://www.sec.gov/cgi-bin/browse-edgar?action=getcompany&amp;CIK=AMT</t>
  </si>
  <si>
    <t>AWK</t>
  </si>
  <si>
    <t>American Water Works Company Inc</t>
  </si>
  <si>
    <t>http://www.sec.gov/cgi-bin/browse-edgar?action=getcompany&amp;CIK=AWK</t>
  </si>
  <si>
    <t>AMP</t>
  </si>
  <si>
    <t>Ameriprise Financial</t>
  </si>
  <si>
    <t>http://www.sec.gov/cgi-bin/browse-edgar?action=getcompany&amp;CIK=AMP</t>
  </si>
  <si>
    <t>ABC</t>
  </si>
  <si>
    <t>AmerisourceBergen Corp</t>
  </si>
  <si>
    <t>http://www.sec.gov/cgi-bin/browse-edgar?action=getcompany&amp;CIK=ABC</t>
  </si>
  <si>
    <t>AME</t>
  </si>
  <si>
    <t>AMETEK Inc</t>
  </si>
  <si>
    <t>http://www.sec.gov/cgi-bin/browse-edgar?action=getcompany&amp;CIK=AME</t>
  </si>
  <si>
    <t>AMGN</t>
  </si>
  <si>
    <t>Amgen Inc</t>
  </si>
  <si>
    <t>http://www.sec.gov/cgi-bin/browse-edgar?action=getcompany&amp;CIK=AMGN</t>
  </si>
  <si>
    <t>APH</t>
  </si>
  <si>
    <t>Amphenol Corp</t>
  </si>
  <si>
    <t>http://www.sec.gov/cgi-bin/browse-edgar?action=getcompany&amp;CIK=APH</t>
  </si>
  <si>
    <t>APC</t>
  </si>
  <si>
    <t>Anadarko Petroleum Corp</t>
  </si>
  <si>
    <t>Energy</t>
  </si>
  <si>
    <t>http://www.sec.gov/cgi-bin/browse-edgar?action=getcompany&amp;CIK=APC</t>
  </si>
  <si>
    <t>ADI</t>
  </si>
  <si>
    <t>Analog Devices, Inc.</t>
  </si>
  <si>
    <t>http://www.sec.gov/cgi-bin/browse-edgar?action=getcompany&amp;CIK=ADI</t>
  </si>
  <si>
    <t>ANDV</t>
  </si>
  <si>
    <t>Andeavor</t>
  </si>
  <si>
    <t>http://www.sec.gov/cgi-bin/browse-edgar?action=getcompany&amp;CIK=ANDV</t>
  </si>
  <si>
    <t>ANSS</t>
  </si>
  <si>
    <t>ANSYS</t>
  </si>
  <si>
    <t>http://www.sec.gov/cgi-bin/browse-edgar?action=getcompany&amp;CIK=ANSS</t>
  </si>
  <si>
    <t>ANTM</t>
  </si>
  <si>
    <t>Anthem Inc.</t>
  </si>
  <si>
    <t>http://www.sec.gov/cgi-bin/browse-edgar?action=getcompany&amp;CIK=ANTM</t>
  </si>
  <si>
    <t>AON</t>
  </si>
  <si>
    <t>Aon plc</t>
  </si>
  <si>
    <t>http://www.sec.gov/cgi-bin/browse-edgar?action=getcompany&amp;CIK=AON</t>
  </si>
  <si>
    <t>APA</t>
  </si>
  <si>
    <t>Apache Corporation</t>
  </si>
  <si>
    <t>http://www.sec.gov/cgi-bin/browse-edgar?action=getcompany&amp;CIK=APA</t>
  </si>
  <si>
    <t>AIV</t>
  </si>
  <si>
    <t>Apartment Investment &amp; Management</t>
  </si>
  <si>
    <t>http://www.sec.gov/cgi-bin/browse-edgar?action=getcompany&amp;CIK=AIV</t>
  </si>
  <si>
    <t>AAPL</t>
  </si>
  <si>
    <t>Apple Inc.</t>
  </si>
  <si>
    <t>http://www.sec.gov/cgi-bin/browse-edgar?action=getcompany&amp;CIK=AAPL</t>
  </si>
  <si>
    <t>AMAT</t>
  </si>
  <si>
    <t>Applied Materials Inc</t>
  </si>
  <si>
    <t>http://www.sec.gov/cgi-bin/browse-edgar?action=getcompany&amp;CIK=AMAT</t>
  </si>
  <si>
    <t>APTV</t>
  </si>
  <si>
    <t>Aptiv Plc</t>
  </si>
  <si>
    <t>http://www.sec.gov/cgi-bin/browse-edgar?action=getcompany&amp;CIK=APTV</t>
  </si>
  <si>
    <t>ADM</t>
  </si>
  <si>
    <t>Archer-Daniels-Midland Co</t>
  </si>
  <si>
    <t>http://www.sec.gov/cgi-bin/browse-edgar?action=getcompany&amp;CIK=ADM</t>
  </si>
  <si>
    <t>ARNC</t>
  </si>
  <si>
    <t>Arconic Inc</t>
  </si>
  <si>
    <t>http://www.sec.gov/cgi-bin/browse-edgar?action=getcompany&amp;CIK=ARNC</t>
  </si>
  <si>
    <t>AJG</t>
  </si>
  <si>
    <t>Arthur J. Gallagher &amp; Co.</t>
  </si>
  <si>
    <t>http://www.sec.gov/cgi-bin/browse-edgar?action=getcompany&amp;CIK=AJG</t>
  </si>
  <si>
    <t>AIZ</t>
  </si>
  <si>
    <t>Assurant Inc</t>
  </si>
  <si>
    <t>http://www.sec.gov/cgi-bin/browse-edgar?action=getcompany&amp;CIK=AIZ</t>
  </si>
  <si>
    <t>T</t>
  </si>
  <si>
    <t>AT&amp;T Inc</t>
  </si>
  <si>
    <t>Telecommunication Services</t>
  </si>
  <si>
    <t>http://www.sec.gov/cgi-bin/browse-edgar?action=getcompany&amp;CIK=T</t>
  </si>
  <si>
    <t>ADSK</t>
  </si>
  <si>
    <t>Autodesk Inc</t>
  </si>
  <si>
    <t>http://www.sec.gov/cgi-bin/browse-edgar?action=getcompany&amp;CIK=ADSK</t>
  </si>
  <si>
    <t>ADP</t>
  </si>
  <si>
    <t>Automatic Data Processing</t>
  </si>
  <si>
    <t>http://www.sec.gov/cgi-bin/browse-edgar?action=getcompany&amp;CIK=ADP</t>
  </si>
  <si>
    <t>AZO</t>
  </si>
  <si>
    <t>AutoZone Inc</t>
  </si>
  <si>
    <t>http://www.sec.gov/cgi-bin/browse-edgar?action=getcompany&amp;CIK=AZO</t>
  </si>
  <si>
    <t>AVB</t>
  </si>
  <si>
    <t>AvalonBay Communities, Inc.</t>
  </si>
  <si>
    <t>http://www.sec.gov/cgi-bin/browse-edgar?action=getcompany&amp;CIK=AVB</t>
  </si>
  <si>
    <t>AVY</t>
  </si>
  <si>
    <t>Avery Dennison Corp</t>
  </si>
  <si>
    <t>http://www.sec.gov/cgi-bin/browse-edgar?action=getcompany&amp;CIK=AVY</t>
  </si>
  <si>
    <t>BHGE</t>
  </si>
  <si>
    <t>Baker Hughes, a GE Company</t>
  </si>
  <si>
    <t>http://www.sec.gov/cgi-bin/browse-edgar?action=getcompany&amp;CIK=BHGE</t>
  </si>
  <si>
    <t>BLL</t>
  </si>
  <si>
    <t>Ball Corp</t>
  </si>
  <si>
    <t>http://www.sec.gov/cgi-bin/browse-edgar?action=getcompany&amp;CIK=BLL</t>
  </si>
  <si>
    <t>BAC</t>
  </si>
  <si>
    <t>Bank of America Corp</t>
  </si>
  <si>
    <t>http://www.sec.gov/cgi-bin/browse-edgar?action=getcompany&amp;CIK=BAC</t>
  </si>
  <si>
    <t>BAX</t>
  </si>
  <si>
    <t>Baxter International Inc.</t>
  </si>
  <si>
    <t>http://www.sec.gov/cgi-bin/browse-edgar?action=getcompany&amp;CIK=BAX</t>
  </si>
  <si>
    <t>BBT</t>
  </si>
  <si>
    <t>BB&amp;T Corporation</t>
  </si>
  <si>
    <t>http://www.sec.gov/cgi-bin/browse-edgar?action=getcompany&amp;CIK=BBT</t>
  </si>
  <si>
    <t>BDX</t>
  </si>
  <si>
    <t>Becton Dickinson</t>
  </si>
  <si>
    <t>http://www.sec.gov/cgi-bin/browse-edgar?action=getcompany&amp;CIK=BDX</t>
  </si>
  <si>
    <t>BRK.B</t>
  </si>
  <si>
    <t>Berkshire Hathaway</t>
  </si>
  <si>
    <t>http://www.sec.gov/cgi-bin/browse-edgar?action=getcompany&amp;CIK=BRK.B</t>
  </si>
  <si>
    <t>BBY</t>
  </si>
  <si>
    <t>Best Buy Co. Inc.</t>
  </si>
  <si>
    <t>http://www.sec.gov/cgi-bin/browse-edgar?action=getcompany&amp;CIK=BBY</t>
  </si>
  <si>
    <t>BIIB</t>
  </si>
  <si>
    <t>Biogen Inc.</t>
  </si>
  <si>
    <t>http://www.sec.gov/cgi-bin/browse-edgar?action=getcompany&amp;CIK=BIIB</t>
  </si>
  <si>
    <t>BLK</t>
  </si>
  <si>
    <t>BlackRock</t>
  </si>
  <si>
    <t>http://www.sec.gov/cgi-bin/browse-edgar?action=getcompany&amp;CIK=BLK</t>
  </si>
  <si>
    <t>HRB</t>
  </si>
  <si>
    <t>Block H&amp;R</t>
  </si>
  <si>
    <t>http://www.sec.gov/cgi-bin/browse-edgar?action=getcompany&amp;CIK=HRB</t>
  </si>
  <si>
    <t>BA</t>
  </si>
  <si>
    <t>Boeing Company</t>
  </si>
  <si>
    <t>http://www.sec.gov/cgi-bin/browse-edgar?action=getcompany&amp;CIK=BA</t>
  </si>
  <si>
    <t>BWA</t>
  </si>
  <si>
    <t>BorgWarner</t>
  </si>
  <si>
    <t>http://www.sec.gov/cgi-bin/browse-edgar?action=getcompany&amp;CIK=BWA</t>
  </si>
  <si>
    <t>BXP</t>
  </si>
  <si>
    <t>Boston Properties</t>
  </si>
  <si>
    <t>http://www.sec.gov/cgi-bin/browse-edgar?action=getcompany&amp;CIK=BXP</t>
  </si>
  <si>
    <t>BSX</t>
  </si>
  <si>
    <t>Boston Scientific</t>
  </si>
  <si>
    <t>http://www.sec.gov/cgi-bin/browse-edgar?action=getcompany&amp;CIK=BSX</t>
  </si>
  <si>
    <t>BHF</t>
  </si>
  <si>
    <t>Brighthouse Financial Inc</t>
  </si>
  <si>
    <t>http://www.sec.gov/cgi-bin/browse-edgar?action=getcompany&amp;CIK=BHF</t>
  </si>
  <si>
    <t>BMY</t>
  </si>
  <si>
    <t>Bristol-Myers Squibb</t>
  </si>
  <si>
    <t>http://www.sec.gov/cgi-bin/browse-edgar?action=getcompany&amp;CIK=BMY</t>
  </si>
  <si>
    <t>AVGO</t>
  </si>
  <si>
    <t>Broadcom</t>
  </si>
  <si>
    <t>http://www.sec.gov/cgi-bin/browse-edgar?action=getcompany&amp;CIK=AVGO</t>
  </si>
  <si>
    <t>BF.B</t>
  </si>
  <si>
    <t>Brown-Forman Corp.</t>
  </si>
  <si>
    <t>http://www.sec.gov/cgi-bin/browse-edgar?action=getcompany&amp;CIK=BF.B</t>
  </si>
  <si>
    <t>CHRW</t>
  </si>
  <si>
    <t>C. H. Robinson Worldwide</t>
  </si>
  <si>
    <t>http://www.sec.gov/cgi-bin/browse-edgar?action=getcompany&amp;CIK=CHRW</t>
  </si>
  <si>
    <t>CA</t>
  </si>
  <si>
    <t>CA, Inc.</t>
  </si>
  <si>
    <t>http://www.sec.gov/cgi-bin/browse-edgar?action=getcompany&amp;CIK=CA</t>
  </si>
  <si>
    <t>COG</t>
  </si>
  <si>
    <t>Cabot Oil &amp; Gas</t>
  </si>
  <si>
    <t>http://www.sec.gov/cgi-bin/browse-edgar?action=getcompany&amp;CIK=COG</t>
  </si>
  <si>
    <t>CDNS</t>
  </si>
  <si>
    <t>Cadence Design Systems</t>
  </si>
  <si>
    <t>http://www.sec.gov/cgi-bin/browse-edgar?action=getcompany&amp;CIK=CDNS</t>
  </si>
  <si>
    <t>CPB</t>
  </si>
  <si>
    <t>Campbell Soup</t>
  </si>
  <si>
    <t>http://www.sec.gov/cgi-bin/browse-edgar?action=getcompany&amp;CIK=CPB</t>
  </si>
  <si>
    <t>COF</t>
  </si>
  <si>
    <t>Capital One Financial</t>
  </si>
  <si>
    <t>http://www.sec.gov/cgi-bin/browse-edgar?action=getcompany&amp;CIK=COF</t>
  </si>
  <si>
    <t>CAH</t>
  </si>
  <si>
    <t>Cardinal Health Inc.</t>
  </si>
  <si>
    <t>http://www.sec.gov/cgi-bin/browse-edgar?action=getcompany&amp;CIK=CAH</t>
  </si>
  <si>
    <t>KMX</t>
  </si>
  <si>
    <t>Carmax Inc</t>
  </si>
  <si>
    <t>http://www.sec.gov/cgi-bin/browse-edgar?action=getcompany&amp;CIK=KMX</t>
  </si>
  <si>
    <t>CCL</t>
  </si>
  <si>
    <t>Carnival Corp.</t>
  </si>
  <si>
    <t>http://www.sec.gov/cgi-bin/browse-edgar?action=getcompany&amp;CIK=CCL</t>
  </si>
  <si>
    <t>CAT</t>
  </si>
  <si>
    <t>Caterpillar Inc.</t>
  </si>
  <si>
    <t>http://www.sec.gov/cgi-bin/browse-edgar?action=getcompany&amp;CIK=CAT</t>
  </si>
  <si>
    <t>CBOE</t>
  </si>
  <si>
    <t>CBOE Holdings</t>
  </si>
  <si>
    <t>http://www.sec.gov/cgi-bin/browse-edgar?action=getcompany&amp;CIK=CBOE</t>
  </si>
  <si>
    <t>CBG</t>
  </si>
  <si>
    <t>CBRE Group</t>
  </si>
  <si>
    <t>http://www.sec.gov/cgi-bin/browse-edgar?action=getcompany&amp;CIK=CBG</t>
  </si>
  <si>
    <t>CBS</t>
  </si>
  <si>
    <t>CBS Corp.</t>
  </si>
  <si>
    <t>http://www.sec.gov/cgi-bin/browse-edgar?action=getcompany&amp;CIK=CBS</t>
  </si>
  <si>
    <t>CELG</t>
  </si>
  <si>
    <t>Celgene Corp.</t>
  </si>
  <si>
    <t>http://www.sec.gov/cgi-bin/browse-edgar?action=getcompany&amp;CIK=CELG</t>
  </si>
  <si>
    <t>CNC</t>
  </si>
  <si>
    <t>Centene Corporation</t>
  </si>
  <si>
    <t>http://www.sec.gov/cgi-bin/browse-edgar?action=getcompany&amp;CIK=CNC</t>
  </si>
  <si>
    <t>CNP</t>
  </si>
  <si>
    <t>CenterPoint Energy</t>
  </si>
  <si>
    <t>http://www.sec.gov/cgi-bin/browse-edgar?action=getcompany&amp;CIK=CNP</t>
  </si>
  <si>
    <t>CTL</t>
  </si>
  <si>
    <t>CenturyLink Inc</t>
  </si>
  <si>
    <t>http://www.sec.gov/cgi-bin/browse-edgar?action=getcompany&amp;CIK=CTL</t>
  </si>
  <si>
    <t>CERN</t>
  </si>
  <si>
    <t>Cerner</t>
  </si>
  <si>
    <t>http://www.sec.gov/cgi-bin/browse-edgar?action=getcompany&amp;CIK=CERN</t>
  </si>
  <si>
    <t>CF</t>
  </si>
  <si>
    <t>CF Industries Holdings Inc</t>
  </si>
  <si>
    <t>http://www.sec.gov/cgi-bin/browse-edgar?action=getcompany&amp;CIK=CF</t>
  </si>
  <si>
    <t>SCHW</t>
  </si>
  <si>
    <t>Charles Schwab Corporation</t>
  </si>
  <si>
    <t>http://www.sec.gov/cgi-bin/browse-edgar?action=getcompany&amp;CIK=SCHW</t>
  </si>
  <si>
    <t>CHTR</t>
  </si>
  <si>
    <t>Charter Communications</t>
  </si>
  <si>
    <t>http://www.sec.gov/cgi-bin/browse-edgar?action=getcompany&amp;CIK=CHTR</t>
  </si>
  <si>
    <t>CHK</t>
  </si>
  <si>
    <t>Chesapeake Energy</t>
  </si>
  <si>
    <t>http://www.sec.gov/cgi-bin/browse-edgar?action=getcompany&amp;CIK=CHK</t>
  </si>
  <si>
    <t>CVX</t>
  </si>
  <si>
    <t>Chevron Corp.</t>
  </si>
  <si>
    <t>http://www.sec.gov/cgi-bin/browse-edgar?action=getcompany&amp;CIK=CVX</t>
  </si>
  <si>
    <t>CMG</t>
  </si>
  <si>
    <t>Chipotle Mexican Grill</t>
  </si>
  <si>
    <t>http://www.sec.gov/cgi-bin/browse-edgar?action=getcompany&amp;CIK=CMG</t>
  </si>
  <si>
    <t>CB</t>
  </si>
  <si>
    <t>Chubb Limited</t>
  </si>
  <si>
    <t>http://www.sec.gov/cgi-bin/browse-edgar?action=getcompany&amp;CIK=CB</t>
  </si>
  <si>
    <t>CHD</t>
  </si>
  <si>
    <t>Church &amp; Dwight</t>
  </si>
  <si>
    <t>http://www.sec.gov/cgi-bin/browse-edgar?action=getcompany&amp;CIK=CHD</t>
  </si>
  <si>
    <t>CI</t>
  </si>
  <si>
    <t>CIGNA Corp.</t>
  </si>
  <si>
    <t>http://www.sec.gov/cgi-bin/browse-edgar?action=getcompany&amp;CIK=CI</t>
  </si>
  <si>
    <t>XEC</t>
  </si>
  <si>
    <t>Cimarex Energy</t>
  </si>
  <si>
    <t>http://www.sec.gov/cgi-bin/browse-edgar?action=getcompany&amp;CIK=XEC</t>
  </si>
  <si>
    <t>CINF</t>
  </si>
  <si>
    <t>Cincinnati Financial</t>
  </si>
  <si>
    <t>http://www.sec.gov/cgi-bin/browse-edgar?action=getcompany&amp;CIK=CINF</t>
  </si>
  <si>
    <t>CTAS</t>
  </si>
  <si>
    <t>Cintas Corporation</t>
  </si>
  <si>
    <t>http://www.sec.gov/cgi-bin/browse-edgar?action=getcompany&amp;CIK=CTAS</t>
  </si>
  <si>
    <t>CSCO</t>
  </si>
  <si>
    <t>Cisco Systems</t>
  </si>
  <si>
    <t>http://www.sec.gov/cgi-bin/browse-edgar?action=getcompany&amp;CIK=CSCO</t>
  </si>
  <si>
    <t>C</t>
  </si>
  <si>
    <t>Citigroup Inc.</t>
  </si>
  <si>
    <t>http://www.sec.gov/cgi-bin/browse-edgar?action=getcompany&amp;CIK=C</t>
  </si>
  <si>
    <t>CFG</t>
  </si>
  <si>
    <t>Citizens Financial Group</t>
  </si>
  <si>
    <t>http://www.sec.gov/cgi-bin/browse-edgar?action=getcompany&amp;CIK=CFG</t>
  </si>
  <si>
    <t>CTXS</t>
  </si>
  <si>
    <t>Citrix Systems</t>
  </si>
  <si>
    <t>http://www.sec.gov/cgi-bin/browse-edgar?action=getcompany&amp;CIK=CTXS</t>
  </si>
  <si>
    <t>CME</t>
  </si>
  <si>
    <t>CME Group Inc.</t>
  </si>
  <si>
    <t>http://www.sec.gov/cgi-bin/browse-edgar?action=getcompany&amp;CIK=CME</t>
  </si>
  <si>
    <t>CMS</t>
  </si>
  <si>
    <t>CMS Energy</t>
  </si>
  <si>
    <t>http://www.sec.gov/cgi-bin/browse-edgar?action=getcompany&amp;CIK=CMS</t>
  </si>
  <si>
    <t>KO</t>
  </si>
  <si>
    <t>Coca-Cola Company (The)</t>
  </si>
  <si>
    <t>http://www.sec.gov/cgi-bin/browse-edgar?action=getcompany&amp;CIK=KO</t>
  </si>
  <si>
    <t>CTSH</t>
  </si>
  <si>
    <t>Cognizant Technology Solutions</t>
  </si>
  <si>
    <t>http://www.sec.gov/cgi-bin/browse-edgar?action=getcompany&amp;CIK=CTSH</t>
  </si>
  <si>
    <t>CL</t>
  </si>
  <si>
    <t>Colgate-Palmolive</t>
  </si>
  <si>
    <t>http://www.sec.gov/cgi-bin/browse-edgar?action=getcompany&amp;CIK=CL</t>
  </si>
  <si>
    <t>CMCSA</t>
  </si>
  <si>
    <t>Comcast Corp.</t>
  </si>
  <si>
    <t>http://www.sec.gov/cgi-bin/browse-edgar?action=getcompany&amp;CIK=CMCSA</t>
  </si>
  <si>
    <t>CMA</t>
  </si>
  <si>
    <t>Comerica Inc.</t>
  </si>
  <si>
    <t>http://www.sec.gov/cgi-bin/browse-edgar?action=getcompany&amp;CIK=CMA</t>
  </si>
  <si>
    <t>CAG</t>
  </si>
  <si>
    <t>Conagra Brands</t>
  </si>
  <si>
    <t>http://www.sec.gov/cgi-bin/browse-edgar?action=getcompany&amp;CIK=CAG</t>
  </si>
  <si>
    <t>CXO</t>
  </si>
  <si>
    <t>Concho Resources</t>
  </si>
  <si>
    <t>http://www.sec.gov/cgi-bin/browse-edgar?action=getcompany&amp;CIK=CXO</t>
  </si>
  <si>
    <t>COP</t>
  </si>
  <si>
    <t>ConocoPhillips</t>
  </si>
  <si>
    <t>http://www.sec.gov/cgi-bin/browse-edgar?action=getcompany&amp;CIK=COP</t>
  </si>
  <si>
    <t>ED</t>
  </si>
  <si>
    <t>Consolidated Edison</t>
  </si>
  <si>
    <t>http://www.sec.gov/cgi-bin/browse-edgar?action=getcompany&amp;CIK=ED</t>
  </si>
  <si>
    <t>STZ</t>
  </si>
  <si>
    <t>Constellation Brands</t>
  </si>
  <si>
    <t>http://www.sec.gov/cgi-bin/browse-edgar?action=getcompany&amp;CIK=STZ</t>
  </si>
  <si>
    <t>GLW</t>
  </si>
  <si>
    <t>Corning Inc.</t>
  </si>
  <si>
    <t>http://www.sec.gov/cgi-bin/browse-edgar?action=getcompany&amp;CIK=GLW</t>
  </si>
  <si>
    <t>COST</t>
  </si>
  <si>
    <t>Costco Wholesale Corp.</t>
  </si>
  <si>
    <t>http://www.sec.gov/cgi-bin/browse-edgar?action=getcompany&amp;CIK=COST</t>
  </si>
  <si>
    <t>COTY</t>
  </si>
  <si>
    <t>Coty, Inc</t>
  </si>
  <si>
    <t>http://www.sec.gov/cgi-bin/browse-edgar?action=getcompany&amp;CIK=COTY</t>
  </si>
  <si>
    <t>CCI</t>
  </si>
  <si>
    <t>Crown Castle International Corp.</t>
  </si>
  <si>
    <t>http://www.sec.gov/cgi-bin/browse-edgar?action=getcompany&amp;CIK=CCI</t>
  </si>
  <si>
    <t>CSRA</t>
  </si>
  <si>
    <t>CSRA Inc.</t>
  </si>
  <si>
    <t>http://www.sec.gov/cgi-bin/browse-edgar?action=getcompany&amp;CIK=CSRA</t>
  </si>
  <si>
    <t>CSX</t>
  </si>
  <si>
    <t>CSX Corp.</t>
  </si>
  <si>
    <t>http://www.sec.gov/cgi-bin/browse-edgar?action=getcompany&amp;CIK=CSX</t>
  </si>
  <si>
    <t>CMI</t>
  </si>
  <si>
    <t>Cummins Inc.</t>
  </si>
  <si>
    <t>http://www.sec.gov/cgi-bin/browse-edgar?action=getcompany&amp;CIK=CMI</t>
  </si>
  <si>
    <t>CVS</t>
  </si>
  <si>
    <t>CVS Health</t>
  </si>
  <si>
    <t>http://www.sec.gov/cgi-bin/browse-edgar?action=getcompany&amp;CIK=CVS</t>
  </si>
  <si>
    <t>DHI</t>
  </si>
  <si>
    <t>D. R. Horton</t>
  </si>
  <si>
    <t>http://www.sec.gov/cgi-bin/browse-edgar?action=getcompany&amp;CIK=DHI</t>
  </si>
  <si>
    <t>DHR</t>
  </si>
  <si>
    <t>Danaher Corp.</t>
  </si>
  <si>
    <t>http://www.sec.gov/cgi-bin/browse-edgar?action=getcompany&amp;CIK=DHR</t>
  </si>
  <si>
    <t>DRI</t>
  </si>
  <si>
    <t>Darden Restaurants</t>
  </si>
  <si>
    <t>http://www.sec.gov/cgi-bin/browse-edgar?action=getcompany&amp;CIK=DRI</t>
  </si>
  <si>
    <t>DVA</t>
  </si>
  <si>
    <t>DaVita Inc.</t>
  </si>
  <si>
    <t>http://www.sec.gov/cgi-bin/browse-edgar?action=getcompany&amp;CIK=DVA</t>
  </si>
  <si>
    <t>DE</t>
  </si>
  <si>
    <t>Deere &amp; Co.</t>
  </si>
  <si>
    <t>http://www.sec.gov/cgi-bin/browse-edgar?action=getcompany&amp;CIK=DE</t>
  </si>
  <si>
    <t>DAL</t>
  </si>
  <si>
    <t>Delta Air Lines Inc.</t>
  </si>
  <si>
    <t>http://www.sec.gov/cgi-bin/browse-edgar?action=getcompany&amp;CIK=DAL</t>
  </si>
  <si>
    <t>XRAY</t>
  </si>
  <si>
    <t>Dentsply Sirona</t>
  </si>
  <si>
    <t>http://www.sec.gov/cgi-bin/browse-edgar?action=getcompany&amp;CIK=XRAY</t>
  </si>
  <si>
    <t>DVN</t>
  </si>
  <si>
    <t>Devon Energy Corp.</t>
  </si>
  <si>
    <t>http://www.sec.gov/cgi-bin/browse-edgar?action=getcompany&amp;CIK=DVN</t>
  </si>
  <si>
    <t>DLR</t>
  </si>
  <si>
    <t>Digital Realty Trust Inc</t>
  </si>
  <si>
    <t>http://www.sec.gov/cgi-bin/browse-edgar?action=getcompany&amp;CIK=DLR</t>
  </si>
  <si>
    <t>DFS</t>
  </si>
  <si>
    <t>Discover Financial Services</t>
  </si>
  <si>
    <t>http://www.sec.gov/cgi-bin/browse-edgar?action=getcompany&amp;CIK=DFS</t>
  </si>
  <si>
    <t>DISCA</t>
  </si>
  <si>
    <t>Discovery Communications-A</t>
  </si>
  <si>
    <t>http://www.sec.gov/cgi-bin/browse-edgar?action=getcompany&amp;CIK=DISCA</t>
  </si>
  <si>
    <t>DISCK</t>
  </si>
  <si>
    <t>Discovery Communications-C</t>
  </si>
  <si>
    <t>http://www.sec.gov/cgi-bin/browse-edgar?action=getcompany&amp;CIK=DISCK</t>
  </si>
  <si>
    <t>DISH</t>
  </si>
  <si>
    <t>Dish Network</t>
  </si>
  <si>
    <t>http://www.sec.gov/cgi-bin/browse-edgar?action=getcompany&amp;CIK=DISH</t>
  </si>
  <si>
    <t>DG</t>
  </si>
  <si>
    <t>Dollar General</t>
  </si>
  <si>
    <t>http://www.sec.gov/cgi-bin/browse-edgar?action=getcompany&amp;CIK=DG</t>
  </si>
  <si>
    <t>DLTR</t>
  </si>
  <si>
    <t>Dollar Tree</t>
  </si>
  <si>
    <t>http://www.sec.gov/cgi-bin/browse-edgar?action=getcompany&amp;CIK=DLTR</t>
  </si>
  <si>
    <t>D</t>
  </si>
  <si>
    <t>Dominion Energy</t>
  </si>
  <si>
    <t>http://www.sec.gov/cgi-bin/browse-edgar?action=getcompany&amp;CIK=D</t>
  </si>
  <si>
    <t>DOV</t>
  </si>
  <si>
    <t>Dover Corp.</t>
  </si>
  <si>
    <t>http://www.sec.gov/cgi-bin/browse-edgar?action=getcompany&amp;CIK=DOV</t>
  </si>
  <si>
    <t>DWDP</t>
  </si>
  <si>
    <t>DowDuPont</t>
  </si>
  <si>
    <t>http://www.sec.gov/cgi-bin/browse-edgar?action=getcompany&amp;CIK=DWDP</t>
  </si>
  <si>
    <t>DPS</t>
  </si>
  <si>
    <t>Dr Pepper Snapple Group</t>
  </si>
  <si>
    <t>http://www.sec.gov/cgi-bin/browse-edgar?action=getcompany&amp;CIK=DPS</t>
  </si>
  <si>
    <t>DTE</t>
  </si>
  <si>
    <t>DTE Energy Co.</t>
  </si>
  <si>
    <t>http://www.sec.gov/cgi-bin/browse-edgar?action=getcompany&amp;CIK=DTE</t>
  </si>
  <si>
    <t>DUK</t>
  </si>
  <si>
    <t>Duke Energy</t>
  </si>
  <si>
    <t>http://www.sec.gov/cgi-bin/browse-edgar?action=getcompany&amp;CIK=DUK</t>
  </si>
  <si>
    <t>DRE</t>
  </si>
  <si>
    <t>Duke Realty Corp</t>
  </si>
  <si>
    <t>http://www.sec.gov/cgi-bin/browse-edgar?action=getcompany&amp;CIK=DRE</t>
  </si>
  <si>
    <t>DXC</t>
  </si>
  <si>
    <t>DXC Technology</t>
  </si>
  <si>
    <t>http://www.sec.gov/cgi-bin/browse-edgar?action=getcompany&amp;CIK=DXC</t>
  </si>
  <si>
    <t>ETFC</t>
  </si>
  <si>
    <t>E*Trade</t>
  </si>
  <si>
    <t>http://www.sec.gov/cgi-bin/browse-edgar?action=getcompany&amp;CIK=ETFC</t>
  </si>
  <si>
    <t>EMN</t>
  </si>
  <si>
    <t>Eastman Chemical</t>
  </si>
  <si>
    <t>http://www.sec.gov/cgi-bin/browse-edgar?action=getcompany&amp;CIK=EMN</t>
  </si>
  <si>
    <t>ETN</t>
  </si>
  <si>
    <t>Eaton Corporation</t>
  </si>
  <si>
    <t>http://www.sec.gov/cgi-bin/browse-edgar?action=getcompany&amp;CIK=ETN</t>
  </si>
  <si>
    <t>EBAY</t>
  </si>
  <si>
    <t>eBay Inc.</t>
  </si>
  <si>
    <t>http://www.sec.gov/cgi-bin/browse-edgar?action=getcompany&amp;CIK=EBAY</t>
  </si>
  <si>
    <t>ECL</t>
  </si>
  <si>
    <t>Ecolab Inc.</t>
  </si>
  <si>
    <t>http://www.sec.gov/cgi-bin/browse-edgar?action=getcompany&amp;CIK=ECL</t>
  </si>
  <si>
    <t>EIX</t>
  </si>
  <si>
    <t>Edison Int'l</t>
  </si>
  <si>
    <t>http://www.sec.gov/cgi-bin/browse-edgar?action=getcompany&amp;CIK=EIX</t>
  </si>
  <si>
    <t>EW</t>
  </si>
  <si>
    <t>Edwards Lifesciences</t>
  </si>
  <si>
    <t>http://www.sec.gov/cgi-bin/browse-edgar?action=getcompany&amp;CIK=EW</t>
  </si>
  <si>
    <t>EA</t>
  </si>
  <si>
    <t>Electronic Arts</t>
  </si>
  <si>
    <t>http://www.sec.gov/cgi-bin/browse-edgar?action=getcompany&amp;CIK=EA</t>
  </si>
  <si>
    <t>EMR</t>
  </si>
  <si>
    <t>Emerson Electric Company</t>
  </si>
  <si>
    <t>http://www.sec.gov/cgi-bin/browse-edgar?action=getcompany&amp;CIK=EMR</t>
  </si>
  <si>
    <t>ETR</t>
  </si>
  <si>
    <t>Entergy Corp.</t>
  </si>
  <si>
    <t>http://www.sec.gov/cgi-bin/browse-edgar?action=getcompany&amp;CIK=ETR</t>
  </si>
  <si>
    <t>EVHC</t>
  </si>
  <si>
    <t>Envision Healthcare</t>
  </si>
  <si>
    <t>http://www.sec.gov/cgi-bin/browse-edgar?action=getcompany&amp;CIK=EVHC</t>
  </si>
  <si>
    <t>EOG</t>
  </si>
  <si>
    <t>EOG Resources</t>
  </si>
  <si>
    <t>http://www.sec.gov/cgi-bin/browse-edgar?action=getcompany&amp;CIK=EOG</t>
  </si>
  <si>
    <t>EQT</t>
  </si>
  <si>
    <t>EQT Corporation</t>
  </si>
  <si>
    <t>http://www.sec.gov/cgi-bin/browse-edgar?action=getcompany&amp;CIK=EQT</t>
  </si>
  <si>
    <t>EFX</t>
  </si>
  <si>
    <t>Equifax Inc.</t>
  </si>
  <si>
    <t>http://www.sec.gov/cgi-bin/browse-edgar?action=getcompany&amp;CIK=EFX</t>
  </si>
  <si>
    <t>EQIX</t>
  </si>
  <si>
    <t>Equinix</t>
  </si>
  <si>
    <t>http://www.sec.gov/cgi-bin/browse-edgar?action=getcompany&amp;CIK=EQIX</t>
  </si>
  <si>
    <t>EQR</t>
  </si>
  <si>
    <t>Equity Residential</t>
  </si>
  <si>
    <t>http://www.sec.gov/cgi-bin/browse-edgar?action=getcompany&amp;CIK=EQR</t>
  </si>
  <si>
    <t>ESS</t>
  </si>
  <si>
    <t>Essex Property Trust, Inc.</t>
  </si>
  <si>
    <t>http://www.sec.gov/cgi-bin/browse-edgar?action=getcompany&amp;CIK=ESS</t>
  </si>
  <si>
    <t>EL</t>
  </si>
  <si>
    <t>Estee Lauder Cos.</t>
  </si>
  <si>
    <t>http://www.sec.gov/cgi-bin/browse-edgar?action=getcompany&amp;CIK=EL</t>
  </si>
  <si>
    <t>RE</t>
  </si>
  <si>
    <t>Everest Re Group Ltd.</t>
  </si>
  <si>
    <t>http://www.sec.gov/cgi-bin/browse-edgar?action=getcompany&amp;CIK=RE</t>
  </si>
  <si>
    <t>ES</t>
  </si>
  <si>
    <t>Eversource Energy</t>
  </si>
  <si>
    <t>http://www.sec.gov/cgi-bin/browse-edgar?action=getcompany&amp;CIK=ES</t>
  </si>
  <si>
    <t>EXC</t>
  </si>
  <si>
    <t>Exelon Corp.</t>
  </si>
  <si>
    <t>http://www.sec.gov/cgi-bin/browse-edgar?action=getcompany&amp;CIK=EXC</t>
  </si>
  <si>
    <t>EXPE</t>
  </si>
  <si>
    <t>Expedia Inc.</t>
  </si>
  <si>
    <t>http://www.sec.gov/cgi-bin/browse-edgar?action=getcompany&amp;CIK=EXPE</t>
  </si>
  <si>
    <t>EXPD</t>
  </si>
  <si>
    <t>Expeditors International</t>
  </si>
  <si>
    <t>http://www.sec.gov/cgi-bin/browse-edgar?action=getcompany&amp;CIK=EXPD</t>
  </si>
  <si>
    <t>ESRX</t>
  </si>
  <si>
    <t>Express Scripts</t>
  </si>
  <si>
    <t>http://www.sec.gov/cgi-bin/browse-edgar?action=getcompany&amp;CIK=ESRX</t>
  </si>
  <si>
    <t>EXR</t>
  </si>
  <si>
    <t>Extra Space Storage</t>
  </si>
  <si>
    <t>http://www.sec.gov/cgi-bin/browse-edgar?action=getcompany&amp;CIK=EXR</t>
  </si>
  <si>
    <t>XOM</t>
  </si>
  <si>
    <t>Exxon Mobil Corp.</t>
  </si>
  <si>
    <t>http://www.sec.gov/cgi-bin/browse-edgar?action=getcompany&amp;CIK=XOM</t>
  </si>
  <si>
    <t>FFIV</t>
  </si>
  <si>
    <t>F5 Networks</t>
  </si>
  <si>
    <t>http://www.sec.gov/cgi-bin/browse-edgar?action=getcompany&amp;CIK=FFIV</t>
  </si>
  <si>
    <t>FB</t>
  </si>
  <si>
    <t>Facebook, Inc.</t>
  </si>
  <si>
    <t>http://www.sec.gov/cgi-bin/browse-edgar?action=getcompany&amp;CIK=FB</t>
  </si>
  <si>
    <t>FAST</t>
  </si>
  <si>
    <t>Fastenal Co</t>
  </si>
  <si>
    <t>http://www.sec.gov/cgi-bin/browse-edgar?action=getcompany&amp;CIK=FAST</t>
  </si>
  <si>
    <t>FRT</t>
  </si>
  <si>
    <t>Federal Realty Investment Trust</t>
  </si>
  <si>
    <t>http://www.sec.gov/cgi-bin/browse-edgar?action=getcompany&amp;CIK=FRT</t>
  </si>
  <si>
    <t>FDX</t>
  </si>
  <si>
    <t>FedEx Corporation</t>
  </si>
  <si>
    <t>http://www.sec.gov/cgi-bin/browse-edgar?action=getcompany&amp;CIK=FDX</t>
  </si>
  <si>
    <t>FIS</t>
  </si>
  <si>
    <t>Fidelity National Information Services</t>
  </si>
  <si>
    <t>http://www.sec.gov/cgi-bin/browse-edgar?action=getcompany&amp;CIK=FIS</t>
  </si>
  <si>
    <t>FITB</t>
  </si>
  <si>
    <t>Fifth Third Bancorp</t>
  </si>
  <si>
    <t>http://www.sec.gov/cgi-bin/browse-edgar?action=getcompany&amp;CIK=FITB</t>
  </si>
  <si>
    <t>FE</t>
  </si>
  <si>
    <t>FirstEnergy Corp</t>
  </si>
  <si>
    <t>http://www.sec.gov/cgi-bin/browse-edgar?action=getcompany&amp;CIK=FE</t>
  </si>
  <si>
    <t>FISV</t>
  </si>
  <si>
    <t>Fiserv Inc</t>
  </si>
  <si>
    <t>http://www.sec.gov/cgi-bin/browse-edgar?action=getcompany&amp;CIK=FISV</t>
  </si>
  <si>
    <t>FLIR</t>
  </si>
  <si>
    <t>FLIR Systems</t>
  </si>
  <si>
    <t>http://www.sec.gov/cgi-bin/browse-edgar?action=getcompany&amp;CIK=FLIR</t>
  </si>
  <si>
    <t>FLS</t>
  </si>
  <si>
    <t>Flowserve Corporation</t>
  </si>
  <si>
    <t>http://www.sec.gov/cgi-bin/browse-edgar?action=getcompany&amp;CIK=FLS</t>
  </si>
  <si>
    <t>FLR</t>
  </si>
  <si>
    <t>Fluor Corp.</t>
  </si>
  <si>
    <t>http://www.sec.gov/cgi-bin/browse-edgar?action=getcompany&amp;CIK=FLR</t>
  </si>
  <si>
    <t>FMC</t>
  </si>
  <si>
    <t>FMC Corporation</t>
  </si>
  <si>
    <t>http://www.sec.gov/cgi-bin/browse-edgar?action=getcompany&amp;CIK=FMC</t>
  </si>
  <si>
    <t>FL</t>
  </si>
  <si>
    <t>Foot Locker Inc</t>
  </si>
  <si>
    <t>http://www.sec.gov/cgi-bin/browse-edgar?action=getcompany&amp;CIK=FL</t>
  </si>
  <si>
    <t>F</t>
  </si>
  <si>
    <t>Ford Motor</t>
  </si>
  <si>
    <t>http://www.sec.gov/cgi-bin/browse-edgar?action=getcompany&amp;CIK=F</t>
  </si>
  <si>
    <t>FTV</t>
  </si>
  <si>
    <t>Fortive Corp</t>
  </si>
  <si>
    <t>http://www.sec.gov/cgi-bin/browse-edgar?action=getcompany&amp;CIK=FTV</t>
  </si>
  <si>
    <t>FBHS</t>
  </si>
  <si>
    <t>Fortune Brands Home &amp; Security</t>
  </si>
  <si>
    <t>http://www.sec.gov/cgi-bin/browse-edgar?action=getcompany&amp;CIK=FBHS</t>
  </si>
  <si>
    <t>BEN</t>
  </si>
  <si>
    <t>Franklin Resources</t>
  </si>
  <si>
    <t>http://www.sec.gov/cgi-bin/browse-edgar?action=getcompany&amp;CIK=BEN</t>
  </si>
  <si>
    <t>FCX</t>
  </si>
  <si>
    <t>Freeport-McMoRan Inc.</t>
  </si>
  <si>
    <t>http://www.sec.gov/cgi-bin/browse-edgar?action=getcompany&amp;CIK=FCX</t>
  </si>
  <si>
    <t>GPS</t>
  </si>
  <si>
    <t>Gap Inc.</t>
  </si>
  <si>
    <t>http://www.sec.gov/cgi-bin/browse-edgar?action=getcompany&amp;CIK=GPS</t>
  </si>
  <si>
    <t>GRMN</t>
  </si>
  <si>
    <t>Garmin Ltd.</t>
  </si>
  <si>
    <t>http://www.sec.gov/cgi-bin/browse-edgar?action=getcompany&amp;CIK=GRMN</t>
  </si>
  <si>
    <t>IT</t>
  </si>
  <si>
    <t>Gartner Inc</t>
  </si>
  <si>
    <t>http://www.sec.gov/cgi-bin/browse-edgar?action=getcompany&amp;CIK=IT</t>
  </si>
  <si>
    <t>GD</t>
  </si>
  <si>
    <t>General Dynamics</t>
  </si>
  <si>
    <t>http://www.sec.gov/cgi-bin/browse-edgar?action=getcompany&amp;CIK=GD</t>
  </si>
  <si>
    <t>GE</t>
  </si>
  <si>
    <t>General Electric</t>
  </si>
  <si>
    <t>http://www.sec.gov/cgi-bin/browse-edgar?action=getcompany&amp;CIK=GE</t>
  </si>
  <si>
    <t>GGP</t>
  </si>
  <si>
    <t>General Growth Properties Inc.</t>
  </si>
  <si>
    <t>http://www.sec.gov/cgi-bin/browse-edgar?action=getcompany&amp;CIK=GGP</t>
  </si>
  <si>
    <t>GIS</t>
  </si>
  <si>
    <t>General Mills</t>
  </si>
  <si>
    <t>http://www.sec.gov/cgi-bin/browse-edgar?action=getcompany&amp;CIK=GIS</t>
  </si>
  <si>
    <t>GM</t>
  </si>
  <si>
    <t>General Motors</t>
  </si>
  <si>
    <t>http://www.sec.gov/cgi-bin/browse-edgar?action=getcompany&amp;CIK=GM</t>
  </si>
  <si>
    <t>GPC</t>
  </si>
  <si>
    <t>Genuine Parts</t>
  </si>
  <si>
    <t>http://www.sec.gov/cgi-bin/browse-edgar?action=getcompany&amp;CIK=GPC</t>
  </si>
  <si>
    <t>GILD</t>
  </si>
  <si>
    <t>Gilead Sciences</t>
  </si>
  <si>
    <t>http://www.sec.gov/cgi-bin/browse-edgar?action=getcompany&amp;CIK=GILD</t>
  </si>
  <si>
    <t>GPN</t>
  </si>
  <si>
    <t>Global Payments Inc.</t>
  </si>
  <si>
    <t>http://www.sec.gov/cgi-bin/browse-edgar?action=getcompany&amp;CIK=GPN</t>
  </si>
  <si>
    <t>GS</t>
  </si>
  <si>
    <t>Goldman Sachs Group</t>
  </si>
  <si>
    <t>http://www.sec.gov/cgi-bin/browse-edgar?action=getcompany&amp;CIK=GS</t>
  </si>
  <si>
    <t>GT</t>
  </si>
  <si>
    <t>Goodyear Tire &amp; Rubber</t>
  </si>
  <si>
    <t>http://www.sec.gov/cgi-bin/browse-edgar?action=getcompany&amp;CIK=GT</t>
  </si>
  <si>
    <t>GWW</t>
  </si>
  <si>
    <t>Grainger (W.W.) Inc.</t>
  </si>
  <si>
    <t>http://www.sec.gov/cgi-bin/browse-edgar?action=getcompany&amp;CIK=GWW</t>
  </si>
  <si>
    <t>HAL</t>
  </si>
  <si>
    <t>Halliburton Co.</t>
  </si>
  <si>
    <t>http://www.sec.gov/cgi-bin/browse-edgar?action=getcompany&amp;CIK=HAL</t>
  </si>
  <si>
    <t>HBI</t>
  </si>
  <si>
    <t>Hanesbrands Inc</t>
  </si>
  <si>
    <t>http://www.sec.gov/cgi-bin/browse-edgar?action=getcompany&amp;CIK=HBI</t>
  </si>
  <si>
    <t>HOG</t>
  </si>
  <si>
    <t>Harley-Davidson</t>
  </si>
  <si>
    <t>http://www.sec.gov/cgi-bin/browse-edgar?action=getcompany&amp;CIK=HOG</t>
  </si>
  <si>
    <t>HRS</t>
  </si>
  <si>
    <t>Harris Corporation</t>
  </si>
  <si>
    <t>http://www.sec.gov/cgi-bin/browse-edgar?action=getcompany&amp;CIK=HRS</t>
  </si>
  <si>
    <t>HIG</t>
  </si>
  <si>
    <t>Hartford Financial Svc.Gp.</t>
  </si>
  <si>
    <t>http://www.sec.gov/cgi-bin/browse-edgar?action=getcompany&amp;CIK=HIG</t>
  </si>
  <si>
    <t>HAS</t>
  </si>
  <si>
    <t>Hasbro Inc.</t>
  </si>
  <si>
    <t>http://www.sec.gov/cgi-bin/browse-edgar?action=getcompany&amp;CIK=HAS</t>
  </si>
  <si>
    <t>HCA</t>
  </si>
  <si>
    <t>HCA Holdings</t>
  </si>
  <si>
    <t>http://www.sec.gov/cgi-bin/browse-edgar?action=getcompany&amp;CIK=HCA</t>
  </si>
  <si>
    <t>HCP</t>
  </si>
  <si>
    <t>HCP Inc.</t>
  </si>
  <si>
    <t>http://www.sec.gov/cgi-bin/browse-edgar?action=getcompany&amp;CIK=HCP</t>
  </si>
  <si>
    <t>HP</t>
  </si>
  <si>
    <t>Helmerich &amp; Payne</t>
  </si>
  <si>
    <t>http://www.sec.gov/cgi-bin/browse-edgar?action=getcompany&amp;CIK=HP</t>
  </si>
  <si>
    <t>HSIC</t>
  </si>
  <si>
    <t>Henry Schein</t>
  </si>
  <si>
    <t>http://www.sec.gov/cgi-bin/browse-edgar?action=getcompany&amp;CIK=HSIC</t>
  </si>
  <si>
    <t>HES</t>
  </si>
  <si>
    <t>Hess Corporation</t>
  </si>
  <si>
    <t>http://www.sec.gov/cgi-bin/browse-edgar?action=getcompany&amp;CIK=HES</t>
  </si>
  <si>
    <t>HPE</t>
  </si>
  <si>
    <t>Hewlett Packard Enterprise</t>
  </si>
  <si>
    <t>http://www.sec.gov/cgi-bin/browse-edgar?action=getcompany&amp;CIK=HPE</t>
  </si>
  <si>
    <t>HLT</t>
  </si>
  <si>
    <t>Hilton Worldwide Holdings Inc</t>
  </si>
  <si>
    <t>http://www.sec.gov/cgi-bin/browse-edgar?action=getcompany&amp;CIK=HLT</t>
  </si>
  <si>
    <t>HOLX</t>
  </si>
  <si>
    <t>Hologic</t>
  </si>
  <si>
    <t>http://www.sec.gov/cgi-bin/browse-edgar?action=getcompany&amp;CIK=HOLX</t>
  </si>
  <si>
    <t>HD</t>
  </si>
  <si>
    <t>Home Depot</t>
  </si>
  <si>
    <t>http://www.sec.gov/cgi-bin/browse-edgar?action=getcompany&amp;CIK=HD</t>
  </si>
  <si>
    <t>HON</t>
  </si>
  <si>
    <t>Honeywell Int'l Inc.</t>
  </si>
  <si>
    <t>http://www.sec.gov/cgi-bin/browse-edgar?action=getcompany&amp;CIK=HON</t>
  </si>
  <si>
    <t>HRL</t>
  </si>
  <si>
    <t>Hormel Foods Corp.</t>
  </si>
  <si>
    <t>http://www.sec.gov/cgi-bin/browse-edgar?action=getcompany&amp;CIK=HRL</t>
  </si>
  <si>
    <t>HST</t>
  </si>
  <si>
    <t>Host Hotels &amp; Resorts</t>
  </si>
  <si>
    <t>http://www.sec.gov/cgi-bin/browse-edgar?action=getcompany&amp;CIK=HST</t>
  </si>
  <si>
    <t>HPQ</t>
  </si>
  <si>
    <t>HP Inc.</t>
  </si>
  <si>
    <t>http://www.sec.gov/cgi-bin/browse-edgar?action=getcompany&amp;CIK=HPQ</t>
  </si>
  <si>
    <t>HUM</t>
  </si>
  <si>
    <t>Humana Inc.</t>
  </si>
  <si>
    <t>http://www.sec.gov/cgi-bin/browse-edgar?action=getcompany&amp;CIK=HUM</t>
  </si>
  <si>
    <t>HBAN</t>
  </si>
  <si>
    <t>Huntington Bancshares</t>
  </si>
  <si>
    <t>http://www.sec.gov/cgi-bin/browse-edgar?action=getcompany&amp;CIK=HBAN</t>
  </si>
  <si>
    <t>HII</t>
  </si>
  <si>
    <t>Huntington Ingalls Industries</t>
  </si>
  <si>
    <t>http://www.sec.gov/cgi-bin/browse-edgar?action=getcompany&amp;CIK=HII</t>
  </si>
  <si>
    <t>IDXX</t>
  </si>
  <si>
    <t>IDEXX Laboratories</t>
  </si>
  <si>
    <t>http://www.sec.gov/cgi-bin/browse-edgar?action=getcompany&amp;CIK=IDXX</t>
  </si>
  <si>
    <t>INFO</t>
  </si>
  <si>
    <t>IHS Markit Ltd.</t>
  </si>
  <si>
    <t>http://www.sec.gov/cgi-bin/browse-edgar?action=getcompany&amp;CIK=INFO</t>
  </si>
  <si>
    <t>ITW</t>
  </si>
  <si>
    <t>Illinois Tool Works</t>
  </si>
  <si>
    <t>http://www.sec.gov/cgi-bin/browse-edgar?action=getcompany&amp;CIK=ITW</t>
  </si>
  <si>
    <t>ILMN</t>
  </si>
  <si>
    <t>Illumina Inc</t>
  </si>
  <si>
    <t>http://www.sec.gov/cgi-bin/browse-edgar?action=getcompany&amp;CIK=ILMN</t>
  </si>
  <si>
    <t>INCY</t>
  </si>
  <si>
    <t>Incyte</t>
  </si>
  <si>
    <t>http://www.sec.gov/cgi-bin/browse-edgar?action=getcompany&amp;CIK=INCY</t>
  </si>
  <si>
    <t>IR</t>
  </si>
  <si>
    <t>Ingersoll-Rand PLC</t>
  </si>
  <si>
    <t>http://www.sec.gov/cgi-bin/browse-edgar?action=getcompany&amp;CIK=IR</t>
  </si>
  <si>
    <t>INTC</t>
  </si>
  <si>
    <t>Intel Corp.</t>
  </si>
  <si>
    <t>http://www.sec.gov/cgi-bin/browse-edgar?action=getcompany&amp;CIK=INTC</t>
  </si>
  <si>
    <t>ICE</t>
  </si>
  <si>
    <t>Intercontinental Exchange</t>
  </si>
  <si>
    <t>http://www.sec.gov/cgi-bin/browse-edgar?action=getcompany&amp;CIK=ICE</t>
  </si>
  <si>
    <t>IBM</t>
  </si>
  <si>
    <t>International Business Machines</t>
  </si>
  <si>
    <t>http://www.sec.gov/cgi-bin/browse-edgar?action=getcompany&amp;CIK=IBM</t>
  </si>
  <si>
    <t>IP</t>
  </si>
  <si>
    <t>International Paper</t>
  </si>
  <si>
    <t>http://www.sec.gov/cgi-bin/browse-edgar?action=getcompany&amp;CIK=IP</t>
  </si>
  <si>
    <t>IPG</t>
  </si>
  <si>
    <t>Interpublic Group</t>
  </si>
  <si>
    <t>http://www.sec.gov/cgi-bin/browse-edgar?action=getcompany&amp;CIK=IPG</t>
  </si>
  <si>
    <t>IFF</t>
  </si>
  <si>
    <t>Intl Flavors &amp; Fragrances</t>
  </si>
  <si>
    <t>http://www.sec.gov/cgi-bin/browse-edgar?action=getcompany&amp;CIK=IFF</t>
  </si>
  <si>
    <t>INTU</t>
  </si>
  <si>
    <t>Intuit Inc.</t>
  </si>
  <si>
    <t>http://www.sec.gov/cgi-bin/browse-edgar?action=getcompany&amp;CIK=INTU</t>
  </si>
  <si>
    <t>ISRG</t>
  </si>
  <si>
    <t>Intuitive Surgical Inc.</t>
  </si>
  <si>
    <t>http://www.sec.gov/cgi-bin/browse-edgar?action=getcompany&amp;CIK=ISRG</t>
  </si>
  <si>
    <t>IVZ</t>
  </si>
  <si>
    <t>Invesco Ltd.</t>
  </si>
  <si>
    <t>http://www.sec.gov/cgi-bin/browse-edgar?action=getcompany&amp;CIK=IVZ</t>
  </si>
  <si>
    <t>IQV</t>
  </si>
  <si>
    <t>IQVIA Holdings Inc.</t>
  </si>
  <si>
    <t>http://www.sec.gov/cgi-bin/browse-edgar?action=getcompany&amp;CIK=IQV</t>
  </si>
  <si>
    <t>IRM</t>
  </si>
  <si>
    <t>Iron Mountain Incorporated</t>
  </si>
  <si>
    <t>http://www.sec.gov/cgi-bin/browse-edgar?action=getcompany&amp;CIK=IRM</t>
  </si>
  <si>
    <t>JBHT</t>
  </si>
  <si>
    <t>J. B. Hunt Transport Services</t>
  </si>
  <si>
    <t>http://www.sec.gov/cgi-bin/browse-edgar?action=getcompany&amp;CIK=JBHT</t>
  </si>
  <si>
    <t>JEC</t>
  </si>
  <si>
    <t>Jacobs Engineering Group</t>
  </si>
  <si>
    <t>http://www.sec.gov/cgi-bin/browse-edgar?action=getcompany&amp;CIK=JEC</t>
  </si>
  <si>
    <t>SJM</t>
  </si>
  <si>
    <t>JM Smucker</t>
  </si>
  <si>
    <t>http://www.sec.gov/cgi-bin/browse-edgar?action=getcompany&amp;CIK=SJM</t>
  </si>
  <si>
    <t>JNJ</t>
  </si>
  <si>
    <t>Johnson &amp; Johnson</t>
  </si>
  <si>
    <t>http://www.sec.gov/cgi-bin/browse-edgar?action=getcompany&amp;CIK=JNJ</t>
  </si>
  <si>
    <t>JCI</t>
  </si>
  <si>
    <t>Johnson Controls International</t>
  </si>
  <si>
    <t>http://www.sec.gov/cgi-bin/browse-edgar?action=getcompany&amp;CIK=JCI</t>
  </si>
  <si>
    <t>JPM</t>
  </si>
  <si>
    <t>JPMorgan Chase &amp; Co.</t>
  </si>
  <si>
    <t>http://www.sec.gov/cgi-bin/browse-edgar?action=getcompany&amp;CIK=JPM</t>
  </si>
  <si>
    <t>JNPR</t>
  </si>
  <si>
    <t>Juniper Networks</t>
  </si>
  <si>
    <t>http://www.sec.gov/cgi-bin/browse-edgar?action=getcompany&amp;CIK=JNPR</t>
  </si>
  <si>
    <t>KSU</t>
  </si>
  <si>
    <t>Kansas City Southern</t>
  </si>
  <si>
    <t>http://www.sec.gov/cgi-bin/browse-edgar?action=getcompany&amp;CIK=KSU</t>
  </si>
  <si>
    <t>K</t>
  </si>
  <si>
    <t>Kellogg Co.</t>
  </si>
  <si>
    <t>http://www.sec.gov/cgi-bin/browse-edgar?action=getcompany&amp;CIK=K</t>
  </si>
  <si>
    <t>KEY</t>
  </si>
  <si>
    <t>KeyCorp</t>
  </si>
  <si>
    <t>http://www.sec.gov/cgi-bin/browse-edgar?action=getcompany&amp;CIK=KEY</t>
  </si>
  <si>
    <t>KMB</t>
  </si>
  <si>
    <t>Kimberly-Clark</t>
  </si>
  <si>
    <t>http://www.sec.gov/cgi-bin/browse-edgar?action=getcompany&amp;CIK=KMB</t>
  </si>
  <si>
    <t>KIM</t>
  </si>
  <si>
    <t>Kimco Realty</t>
  </si>
  <si>
    <t>http://www.sec.gov/cgi-bin/browse-edgar?action=getcompany&amp;CIK=KIM</t>
  </si>
  <si>
    <t>KMI</t>
  </si>
  <si>
    <t>Kinder Morgan</t>
  </si>
  <si>
    <t>http://www.sec.gov/cgi-bin/browse-edgar?action=getcompany&amp;CIK=KMI</t>
  </si>
  <si>
    <t>KLAC</t>
  </si>
  <si>
    <t>KLA-Tencor Corp.</t>
  </si>
  <si>
    <t>http://www.sec.gov/cgi-bin/browse-edgar?action=getcompany&amp;CIK=KLAC</t>
  </si>
  <si>
    <t>KSS</t>
  </si>
  <si>
    <t>Kohl's Corp.</t>
  </si>
  <si>
    <t>http://www.sec.gov/cgi-bin/browse-edgar?action=getcompany&amp;CIK=KSS</t>
  </si>
  <si>
    <t>KHC</t>
  </si>
  <si>
    <t>Kraft Heinz Co</t>
  </si>
  <si>
    <t>http://www.sec.gov/cgi-bin/browse-edgar?action=getcompany&amp;CIK=KHC</t>
  </si>
  <si>
    <t>KR</t>
  </si>
  <si>
    <t>Kroger Co.</t>
  </si>
  <si>
    <t>http://www.sec.gov/cgi-bin/browse-edgar?action=getcompany&amp;CIK=KR</t>
  </si>
  <si>
    <t>LB</t>
  </si>
  <si>
    <t>L Brands Inc.</t>
  </si>
  <si>
    <t>http://www.sec.gov/cgi-bin/browse-edgar?action=getcompany&amp;CIK=LB</t>
  </si>
  <si>
    <t>LLL</t>
  </si>
  <si>
    <t>L-3 Communications Holdings</t>
  </si>
  <si>
    <t>http://www.sec.gov/cgi-bin/browse-edgar?action=getcompany&amp;CIK=LLL</t>
  </si>
  <si>
    <t>LH</t>
  </si>
  <si>
    <t>Laboratory Corp. of America Holding</t>
  </si>
  <si>
    <t>http://www.sec.gov/cgi-bin/browse-edgar?action=getcompany&amp;CIK=LH</t>
  </si>
  <si>
    <t>LRCX</t>
  </si>
  <si>
    <t>Lam Research</t>
  </si>
  <si>
    <t>http://www.sec.gov/cgi-bin/browse-edgar?action=getcompany&amp;CIK=LRCX</t>
  </si>
  <si>
    <t>LEG</t>
  </si>
  <si>
    <t>Leggett &amp; Platt</t>
  </si>
  <si>
    <t>http://www.sec.gov/cgi-bin/browse-edgar?action=getcompany&amp;CIK=LEG</t>
  </si>
  <si>
    <t>LEN</t>
  </si>
  <si>
    <t>Lennar Corp.</t>
  </si>
  <si>
    <t>http://www.sec.gov/cgi-bin/browse-edgar?action=getcompany&amp;CIK=LEN</t>
  </si>
  <si>
    <t>LUK</t>
  </si>
  <si>
    <t>Leucadia National Corp.</t>
  </si>
  <si>
    <t>http://www.sec.gov/cgi-bin/browse-edgar?action=getcompany&amp;CIK=LUK</t>
  </si>
  <si>
    <t>LLY</t>
  </si>
  <si>
    <t>Lilly (Eli) &amp; Co.</t>
  </si>
  <si>
    <t>http://www.sec.gov/cgi-bin/browse-edgar?action=getcompany&amp;CIK=LLY</t>
  </si>
  <si>
    <t>LNC</t>
  </si>
  <si>
    <t>Lincoln National</t>
  </si>
  <si>
    <t>http://www.sec.gov/cgi-bin/browse-edgar?action=getcompany&amp;CIK=LNC</t>
  </si>
  <si>
    <t>LKQ</t>
  </si>
  <si>
    <t>LKQ Corporation</t>
  </si>
  <si>
    <t>http://www.sec.gov/cgi-bin/browse-edgar?action=getcompany&amp;CIK=LKQ</t>
  </si>
  <si>
    <t>LMT</t>
  </si>
  <si>
    <t>Lockheed Martin Corp.</t>
  </si>
  <si>
    <t>http://www.sec.gov/cgi-bin/browse-edgar?action=getcompany&amp;CIK=LMT</t>
  </si>
  <si>
    <t>L</t>
  </si>
  <si>
    <t>Loews Corp.</t>
  </si>
  <si>
    <t>http://www.sec.gov/cgi-bin/browse-edgar?action=getcompany&amp;CIK=L</t>
  </si>
  <si>
    <t>LOW</t>
  </si>
  <si>
    <t>Lowe's Cos.</t>
  </si>
  <si>
    <t>http://www.sec.gov/cgi-bin/browse-edgar?action=getcompany&amp;CIK=LOW</t>
  </si>
  <si>
    <t>LYB</t>
  </si>
  <si>
    <t>LyondellBasell</t>
  </si>
  <si>
    <t>http://www.sec.gov/cgi-bin/browse-edgar?action=getcompany&amp;CIK=LYB</t>
  </si>
  <si>
    <t>MTB</t>
  </si>
  <si>
    <t>M&amp;T Bank Corp.</t>
  </si>
  <si>
    <t>http://www.sec.gov/cgi-bin/browse-edgar?action=getcompany&amp;CIK=MTB</t>
  </si>
  <si>
    <t>MAC</t>
  </si>
  <si>
    <t>Macerich</t>
  </si>
  <si>
    <t>http://www.sec.gov/cgi-bin/browse-edgar?action=getcompany&amp;CIK=MAC</t>
  </si>
  <si>
    <t>M</t>
  </si>
  <si>
    <t>Macy's Inc.</t>
  </si>
  <si>
    <t>http://www.sec.gov/cgi-bin/browse-edgar?action=getcompany&amp;CIK=M</t>
  </si>
  <si>
    <t>MRO</t>
  </si>
  <si>
    <t>Marathon Oil Corp.</t>
  </si>
  <si>
    <t>http://www.sec.gov/cgi-bin/browse-edgar?action=getcompany&amp;CIK=MRO</t>
  </si>
  <si>
    <t>MPC</t>
  </si>
  <si>
    <t>Marathon Petroleum</t>
  </si>
  <si>
    <t>http://www.sec.gov/cgi-bin/browse-edgar?action=getcompany&amp;CIK=MPC</t>
  </si>
  <si>
    <t>MAR</t>
  </si>
  <si>
    <t>Marriott Int'l.</t>
  </si>
  <si>
    <t>http://www.sec.gov/cgi-bin/browse-edgar?action=getcompany&amp;CIK=MAR</t>
  </si>
  <si>
    <t>MMC</t>
  </si>
  <si>
    <t>Marsh &amp; McLennan</t>
  </si>
  <si>
    <t>http://www.sec.gov/cgi-bin/browse-edgar?action=getcompany&amp;CIK=MMC</t>
  </si>
  <si>
    <t>MLM</t>
  </si>
  <si>
    <t>Martin Marietta Materials</t>
  </si>
  <si>
    <t>http://www.sec.gov/cgi-bin/browse-edgar?action=getcompany&amp;CIK=MLM</t>
  </si>
  <si>
    <t>MAS</t>
  </si>
  <si>
    <t>Masco Corp.</t>
  </si>
  <si>
    <t>http://www.sec.gov/cgi-bin/browse-edgar?action=getcompany&amp;CIK=MAS</t>
  </si>
  <si>
    <t>MA</t>
  </si>
  <si>
    <t>Mastercard Inc.</t>
  </si>
  <si>
    <t>http://www.sec.gov/cgi-bin/browse-edgar?action=getcompany&amp;CIK=MA</t>
  </si>
  <si>
    <t>MAT</t>
  </si>
  <si>
    <t>Mattel Inc.</t>
  </si>
  <si>
    <t>http://www.sec.gov/cgi-bin/browse-edgar?action=getcompany&amp;CIK=MAT</t>
  </si>
  <si>
    <t>MKC</t>
  </si>
  <si>
    <t>McCormick &amp; Co.</t>
  </si>
  <si>
    <t>http://www.sec.gov/cgi-bin/browse-edgar?action=getcompany&amp;CIK=MKC</t>
  </si>
  <si>
    <t>MCD</t>
  </si>
  <si>
    <t>McDonald's Corp.</t>
  </si>
  <si>
    <t>http://www.sec.gov/cgi-bin/browse-edgar?action=getcompany&amp;CIK=MCD</t>
  </si>
  <si>
    <t>MCK</t>
  </si>
  <si>
    <t>McKesson Corp.</t>
  </si>
  <si>
    <t>http://www.sec.gov/cgi-bin/browse-edgar?action=getcompany&amp;CIK=MCK</t>
  </si>
  <si>
    <t>MDT</t>
  </si>
  <si>
    <t>Medtronic plc</t>
  </si>
  <si>
    <t>http://www.sec.gov/cgi-bin/browse-edgar?action=getcompany&amp;CIK=MDT</t>
  </si>
  <si>
    <t>MRK</t>
  </si>
  <si>
    <t>Merck &amp; Co.</t>
  </si>
  <si>
    <t>http://www.sec.gov/cgi-bin/browse-edgar?action=getcompany&amp;CIK=MRK</t>
  </si>
  <si>
    <t>MET</t>
  </si>
  <si>
    <t>MetLife Inc.</t>
  </si>
  <si>
    <t>http://www.sec.gov/cgi-bin/browse-edgar?action=getcompany&amp;CIK=MET</t>
  </si>
  <si>
    <t>MTD</t>
  </si>
  <si>
    <t>Mettler Toledo</t>
  </si>
  <si>
    <t>http://www.sec.gov/cgi-bin/browse-edgar?action=getcompany&amp;CIK=MTD</t>
  </si>
  <si>
    <t>MGM</t>
  </si>
  <si>
    <t>MGM Resorts International</t>
  </si>
  <si>
    <t>http://www.sec.gov/cgi-bin/browse-edgar?action=getcompany&amp;CIK=MGM</t>
  </si>
  <si>
    <t>KORS</t>
  </si>
  <si>
    <t>Michael Kors Holdings</t>
  </si>
  <si>
    <t>http://www.sec.gov/cgi-bin/browse-edgar?action=getcompany&amp;CIK=KORS</t>
  </si>
  <si>
    <t>MCHP</t>
  </si>
  <si>
    <t>Microchip Technology</t>
  </si>
  <si>
    <t>http://www.sec.gov/cgi-bin/browse-edgar?action=getcompany&amp;CIK=MCHP</t>
  </si>
  <si>
    <t>MU</t>
  </si>
  <si>
    <t>Micron Technology</t>
  </si>
  <si>
    <t>http://www.sec.gov/cgi-bin/browse-edgar?action=getcompany&amp;CIK=MU</t>
  </si>
  <si>
    <t>MSFT</t>
  </si>
  <si>
    <t>Microsoft Corp.</t>
  </si>
  <si>
    <t>http://www.sec.gov/cgi-bin/browse-edgar?action=getcompany&amp;CIK=MSFT</t>
  </si>
  <si>
    <t>MAA</t>
  </si>
  <si>
    <t>Mid-America Apartments</t>
  </si>
  <si>
    <t>http://www.sec.gov/cgi-bin/browse-edgar?action=getcompany&amp;CIK=MAA</t>
  </si>
  <si>
    <t>MHK</t>
  </si>
  <si>
    <t>Mohawk Industries</t>
  </si>
  <si>
    <t>http://www.sec.gov/cgi-bin/browse-edgar?action=getcompany&amp;CIK=MHK</t>
  </si>
  <si>
    <t>TAP</t>
  </si>
  <si>
    <t>Molson Coors Brewing Company</t>
  </si>
  <si>
    <t>http://www.sec.gov/cgi-bin/browse-edgar?action=getcompany&amp;CIK=TAP</t>
  </si>
  <si>
    <t>MDLZ</t>
  </si>
  <si>
    <t>Mondelez International</t>
  </si>
  <si>
    <t>http://www.sec.gov/cgi-bin/browse-edgar?action=getcompany&amp;CIK=MDLZ</t>
  </si>
  <si>
    <t>MON</t>
  </si>
  <si>
    <t>Monsanto Co.</t>
  </si>
  <si>
    <t>http://www.sec.gov/cgi-bin/browse-edgar?action=getcompany&amp;CIK=MON</t>
  </si>
  <si>
    <t>MNST</t>
  </si>
  <si>
    <t>Monster Beverage</t>
  </si>
  <si>
    <t>http://www.sec.gov/cgi-bin/browse-edgar?action=getcompany&amp;CIK=MNST</t>
  </si>
  <si>
    <t>MCO</t>
  </si>
  <si>
    <t>Moody's Corp</t>
  </si>
  <si>
    <t>http://www.sec.gov/cgi-bin/browse-edgar?action=getcompany&amp;CIK=MCO</t>
  </si>
  <si>
    <t>MS</t>
  </si>
  <si>
    <t>Morgan Stanley</t>
  </si>
  <si>
    <t>http://www.sec.gov/cgi-bin/browse-edgar?action=getcompany&amp;CIK=MS</t>
  </si>
  <si>
    <t>MSI</t>
  </si>
  <si>
    <t>Motorola Solutions Inc.</t>
  </si>
  <si>
    <t>http://www.sec.gov/cgi-bin/browse-edgar?action=getcompany&amp;CIK=MSI</t>
  </si>
  <si>
    <t>MYL</t>
  </si>
  <si>
    <t>Mylan N.V.</t>
  </si>
  <si>
    <t>http://www.sec.gov/cgi-bin/browse-edgar?action=getcompany&amp;CIK=MYL</t>
  </si>
  <si>
    <t>NDAQ</t>
  </si>
  <si>
    <t>Nasdaq, Inc.</t>
  </si>
  <si>
    <t>http://www.sec.gov/cgi-bin/browse-edgar?action=getcompany&amp;CIK=NDAQ</t>
  </si>
  <si>
    <t>NOV</t>
  </si>
  <si>
    <t>National Oilwell Varco Inc.</t>
  </si>
  <si>
    <t>http://www.sec.gov/cgi-bin/browse-edgar?action=getcompany&amp;CIK=NOV</t>
  </si>
  <si>
    <t>NAVI</t>
  </si>
  <si>
    <t>Navient</t>
  </si>
  <si>
    <t>http://www.sec.gov/cgi-bin/browse-edgar?action=getcompany&amp;CIK=NAVI</t>
  </si>
  <si>
    <t>NTAP</t>
  </si>
  <si>
    <t>NetApp</t>
  </si>
  <si>
    <t>http://www.sec.gov/cgi-bin/browse-edgar?action=getcompany&amp;CIK=NTAP</t>
  </si>
  <si>
    <t>NFLX</t>
  </si>
  <si>
    <t>Netflix Inc.</t>
  </si>
  <si>
    <t>http://www.sec.gov/cgi-bin/browse-edgar?action=getcompany&amp;CIK=NFLX</t>
  </si>
  <si>
    <t>NWL</t>
  </si>
  <si>
    <t>Newell Brands</t>
  </si>
  <si>
    <t>http://www.sec.gov/cgi-bin/browse-edgar?action=getcompany&amp;CIK=NWL</t>
  </si>
  <si>
    <t>NFX</t>
  </si>
  <si>
    <t>Newfield Exploration Co</t>
  </si>
  <si>
    <t>http://www.sec.gov/cgi-bin/browse-edgar?action=getcompany&amp;CIK=NFX</t>
  </si>
  <si>
    <t>NEM</t>
  </si>
  <si>
    <t>Newmont Mining Corporation</t>
  </si>
  <si>
    <t>http://www.sec.gov/cgi-bin/browse-edgar?action=getcompany&amp;CIK=NEM</t>
  </si>
  <si>
    <t>NWSA</t>
  </si>
  <si>
    <t>News Corp. Class A</t>
  </si>
  <si>
    <t>http://www.sec.gov/cgi-bin/browse-edgar?action=getcompany&amp;CIK=NWSA</t>
  </si>
  <si>
    <t>NWS</t>
  </si>
  <si>
    <t>News Corp. Class B</t>
  </si>
  <si>
    <t>http://www.sec.gov/cgi-bin/browse-edgar?action=getcompany&amp;CIK=NWS</t>
  </si>
  <si>
    <t>NEE</t>
  </si>
  <si>
    <t>NextEra Energy</t>
  </si>
  <si>
    <t>http://www.sec.gov/cgi-bin/browse-edgar?action=getcompany&amp;CIK=NEE</t>
  </si>
  <si>
    <t>NLSN</t>
  </si>
  <si>
    <t>Nielsen Holdings</t>
  </si>
  <si>
    <t>http://www.sec.gov/cgi-bin/browse-edgar?action=getcompany&amp;CIK=NLSN</t>
  </si>
  <si>
    <t>NKE</t>
  </si>
  <si>
    <t>Nike</t>
  </si>
  <si>
    <t>http://www.sec.gov/cgi-bin/browse-edgar?action=getcompany&amp;CIK=NKE</t>
  </si>
  <si>
    <t>NI</t>
  </si>
  <si>
    <t>NiSource Inc.</t>
  </si>
  <si>
    <t>http://www.sec.gov/cgi-bin/browse-edgar?action=getcompany&amp;CIK=NI</t>
  </si>
  <si>
    <t>NBL</t>
  </si>
  <si>
    <t>Noble Energy Inc</t>
  </si>
  <si>
    <t>http://www.sec.gov/cgi-bin/browse-edgar?action=getcompany&amp;CIK=NBL</t>
  </si>
  <si>
    <t>JWN</t>
  </si>
  <si>
    <t>Nordstrom</t>
  </si>
  <si>
    <t>http://www.sec.gov/cgi-bin/browse-edgar?action=getcompany&amp;CIK=JWN</t>
  </si>
  <si>
    <t>NSC</t>
  </si>
  <si>
    <t>Norfolk Southern Corp.</t>
  </si>
  <si>
    <t>http://www.sec.gov/cgi-bin/browse-edgar?action=getcompany&amp;CIK=NSC</t>
  </si>
  <si>
    <t>NTRS</t>
  </si>
  <si>
    <t>Northern Trust Corp.</t>
  </si>
  <si>
    <t>http://www.sec.gov/cgi-bin/browse-edgar?action=getcompany&amp;CIK=NTRS</t>
  </si>
  <si>
    <t>NOC</t>
  </si>
  <si>
    <t>Northrop Grumman Corp.</t>
  </si>
  <si>
    <t>http://www.sec.gov/cgi-bin/browse-edgar?action=getcompany&amp;CIK=NOC</t>
  </si>
  <si>
    <t>NCLH</t>
  </si>
  <si>
    <t>Norwegian Cruise Line</t>
  </si>
  <si>
    <t>http://www.sec.gov/cgi-bin/browse-edgar?action=getcompany&amp;CIK=NCLH</t>
  </si>
  <si>
    <t>NRG</t>
  </si>
  <si>
    <t>NRG Energy</t>
  </si>
  <si>
    <t>http://www.sec.gov/cgi-bin/browse-edgar?action=getcompany&amp;CIK=NRG</t>
  </si>
  <si>
    <t>NUE</t>
  </si>
  <si>
    <t>Nucor Corp.</t>
  </si>
  <si>
    <t>http://www.sec.gov/cgi-bin/browse-edgar?action=getcompany&amp;CIK=NUE</t>
  </si>
  <si>
    <t>NVDA</t>
  </si>
  <si>
    <t>Nvidia Corporation</t>
  </si>
  <si>
    <t>http://www.sec.gov/cgi-bin/browse-edgar?action=getcompany&amp;CIK=NVDA</t>
  </si>
  <si>
    <t>ORLY</t>
  </si>
  <si>
    <t>O'Reilly Automotive</t>
  </si>
  <si>
    <t>http://www.sec.gov/cgi-bin/browse-edgar?action=getcompany&amp;CIK=ORLY</t>
  </si>
  <si>
    <t>OXY</t>
  </si>
  <si>
    <t>Occidental Petroleum</t>
  </si>
  <si>
    <t>http://www.sec.gov/cgi-bin/browse-edgar?action=getcompany&amp;CIK=OXY</t>
  </si>
  <si>
    <t>OMC</t>
  </si>
  <si>
    <t>Omnicom Group</t>
  </si>
  <si>
    <t>http://www.sec.gov/cgi-bin/browse-edgar?action=getcompany&amp;CIK=OMC</t>
  </si>
  <si>
    <t>OKE</t>
  </si>
  <si>
    <t>ONEOK</t>
  </si>
  <si>
    <t>http://www.sec.gov/cgi-bin/browse-edgar?action=getcompany&amp;CIK=OKE</t>
  </si>
  <si>
    <t>ORCL</t>
  </si>
  <si>
    <t>Oracle Corp.</t>
  </si>
  <si>
    <t>http://www.sec.gov/cgi-bin/browse-edgar?action=getcompany&amp;CIK=ORCL</t>
  </si>
  <si>
    <t>PCAR</t>
  </si>
  <si>
    <t>PACCAR Inc.</t>
  </si>
  <si>
    <t>http://www.sec.gov/cgi-bin/browse-edgar?action=getcompany&amp;CIK=PCAR</t>
  </si>
  <si>
    <t>PKG</t>
  </si>
  <si>
    <t>Packaging Corporation of America</t>
  </si>
  <si>
    <t>http://www.sec.gov/cgi-bin/browse-edgar?action=getcompany&amp;CIK=PKG</t>
  </si>
  <si>
    <t>PH</t>
  </si>
  <si>
    <t>Parker-Hannifin</t>
  </si>
  <si>
    <t>http://www.sec.gov/cgi-bin/browse-edgar?action=getcompany&amp;CIK=PH</t>
  </si>
  <si>
    <t>PDCO</t>
  </si>
  <si>
    <t>Patterson Companies</t>
  </si>
  <si>
    <t>http://www.sec.gov/cgi-bin/browse-edgar?action=getcompany&amp;CIK=PDCO</t>
  </si>
  <si>
    <t>PAYX</t>
  </si>
  <si>
    <t>Paychex Inc.</t>
  </si>
  <si>
    <t>http://www.sec.gov/cgi-bin/browse-edgar?action=getcompany&amp;CIK=PAYX</t>
  </si>
  <si>
    <t>PYPL</t>
  </si>
  <si>
    <t>PayPal</t>
  </si>
  <si>
    <t>http://www.sec.gov/cgi-bin/browse-edgar?action=getcompany&amp;CIK=PYPL</t>
  </si>
  <si>
    <t>PNR</t>
  </si>
  <si>
    <t>Pentair Ltd.</t>
  </si>
  <si>
    <t>http://www.sec.gov/cgi-bin/browse-edgar?action=getcompany&amp;CIK=PNR</t>
  </si>
  <si>
    <t>PBCT</t>
  </si>
  <si>
    <t>People's United Financial</t>
  </si>
  <si>
    <t>http://www.sec.gov/cgi-bin/browse-edgar?action=getcompany&amp;CIK=PBCT</t>
  </si>
  <si>
    <t>PEP</t>
  </si>
  <si>
    <t>PepsiCo Inc.</t>
  </si>
  <si>
    <t>http://www.sec.gov/cgi-bin/browse-edgar?action=getcompany&amp;CIK=PEP</t>
  </si>
  <si>
    <t>PKI</t>
  </si>
  <si>
    <t>PerkinElmer</t>
  </si>
  <si>
    <t>http://www.sec.gov/cgi-bin/browse-edgar?action=getcompany&amp;CIK=PKI</t>
  </si>
  <si>
    <t>PRGO</t>
  </si>
  <si>
    <t>Perrigo</t>
  </si>
  <si>
    <t>http://www.sec.gov/cgi-bin/browse-edgar?action=getcompany&amp;CIK=PRGO</t>
  </si>
  <si>
    <t>PFE</t>
  </si>
  <si>
    <t>Pfizer Inc.</t>
  </si>
  <si>
    <t>http://www.sec.gov/cgi-bin/browse-edgar?action=getcompany&amp;CIK=PFE</t>
  </si>
  <si>
    <t>PCG</t>
  </si>
  <si>
    <t>PG&amp;E Corp.</t>
  </si>
  <si>
    <t>http://www.sec.gov/cgi-bin/browse-edgar?action=getcompany&amp;CIK=PCG</t>
  </si>
  <si>
    <t>PM</t>
  </si>
  <si>
    <t>Philip Morris International</t>
  </si>
  <si>
    <t>http://www.sec.gov/cgi-bin/browse-edgar?action=getcompany&amp;CIK=PM</t>
  </si>
  <si>
    <t>PSX</t>
  </si>
  <si>
    <t>Phillips 66</t>
  </si>
  <si>
    <t>http://www.sec.gov/cgi-bin/browse-edgar?action=getcompany&amp;CIK=PSX</t>
  </si>
  <si>
    <t>PNW</t>
  </si>
  <si>
    <t>Pinnacle West Capital</t>
  </si>
  <si>
    <t>http://www.sec.gov/cgi-bin/browse-edgar?action=getcompany&amp;CIK=PNW</t>
  </si>
  <si>
    <t>PXD</t>
  </si>
  <si>
    <t>Pioneer Natural Resources</t>
  </si>
  <si>
    <t>http://www.sec.gov/cgi-bin/browse-edgar?action=getcompany&amp;CIK=PXD</t>
  </si>
  <si>
    <t>PNC</t>
  </si>
  <si>
    <t>PNC Financial Services</t>
  </si>
  <si>
    <t>http://www.sec.gov/cgi-bin/browse-edgar?action=getcompany&amp;CIK=PNC</t>
  </si>
  <si>
    <t>RL</t>
  </si>
  <si>
    <t>Polo Ralph Lauren Corp.</t>
  </si>
  <si>
    <t>http://www.sec.gov/cgi-bin/browse-edgar?action=getcompany&amp;CIK=RL</t>
  </si>
  <si>
    <t>PPG</t>
  </si>
  <si>
    <t>PPG Industries</t>
  </si>
  <si>
    <t>http://www.sec.gov/cgi-bin/browse-edgar?action=getcompany&amp;CIK=PPG</t>
  </si>
  <si>
    <t>PPL</t>
  </si>
  <si>
    <t>PPL Corp.</t>
  </si>
  <si>
    <t>http://www.sec.gov/cgi-bin/browse-edgar?action=getcompany&amp;CIK=PPL</t>
  </si>
  <si>
    <t>PX</t>
  </si>
  <si>
    <t>Praxair Inc.</t>
  </si>
  <si>
    <t>http://www.sec.gov/cgi-bin/browse-edgar?action=getcompany&amp;CIK=PX</t>
  </si>
  <si>
    <t>PCLN</t>
  </si>
  <si>
    <t>Priceline.com Inc</t>
  </si>
  <si>
    <t>http://www.sec.gov/cgi-bin/browse-edgar?action=getcompany&amp;CIK=PCLN</t>
  </si>
  <si>
    <t>PFG</t>
  </si>
  <si>
    <t>Principal Financial Group</t>
  </si>
  <si>
    <t>http://www.sec.gov/cgi-bin/browse-edgar?action=getcompany&amp;CIK=PFG</t>
  </si>
  <si>
    <t>PG</t>
  </si>
  <si>
    <t>Procter &amp; Gamble</t>
  </si>
  <si>
    <t>http://www.sec.gov/cgi-bin/browse-edgar?action=getcompany&amp;CIK=PG</t>
  </si>
  <si>
    <t>PGR</t>
  </si>
  <si>
    <t>Progressive Corp.</t>
  </si>
  <si>
    <t>http://www.sec.gov/cgi-bin/browse-edgar?action=getcompany&amp;CIK=PGR</t>
  </si>
  <si>
    <t>PLD</t>
  </si>
  <si>
    <t>Prologis</t>
  </si>
  <si>
    <t>http://www.sec.gov/cgi-bin/browse-edgar?action=getcompany&amp;CIK=PLD</t>
  </si>
  <si>
    <t>PRU</t>
  </si>
  <si>
    <t>Prudential Financial</t>
  </si>
  <si>
    <t>http://www.sec.gov/cgi-bin/browse-edgar?action=getcompany&amp;CIK=PRU</t>
  </si>
  <si>
    <t>PEG</t>
  </si>
  <si>
    <t>Public Serv. Enterprise Inc.</t>
  </si>
  <si>
    <t>http://www.sec.gov/cgi-bin/browse-edgar?action=getcompany&amp;CIK=PEG</t>
  </si>
  <si>
    <t>PSA</t>
  </si>
  <si>
    <t>Public Storage</t>
  </si>
  <si>
    <t>http://www.sec.gov/cgi-bin/browse-edgar?action=getcompany&amp;CIK=PSA</t>
  </si>
  <si>
    <t>PHM</t>
  </si>
  <si>
    <t>Pulte Homes Inc.</t>
  </si>
  <si>
    <t>http://www.sec.gov/cgi-bin/browse-edgar?action=getcompany&amp;CIK=PHM</t>
  </si>
  <si>
    <t>PVH</t>
  </si>
  <si>
    <t>PVH Corp.</t>
  </si>
  <si>
    <t>http://www.sec.gov/cgi-bin/browse-edgar?action=getcompany&amp;CIK=PVH</t>
  </si>
  <si>
    <t>QRVO</t>
  </si>
  <si>
    <t>Qorvo</t>
  </si>
  <si>
    <t>http://www.sec.gov/cgi-bin/browse-edgar?action=getcompany&amp;CIK=QRVO</t>
  </si>
  <si>
    <t>QCOM</t>
  </si>
  <si>
    <t>QUALCOMM Inc.</t>
  </si>
  <si>
    <t>http://www.sec.gov/cgi-bin/browse-edgar?action=getcompany&amp;CIK=QCOM</t>
  </si>
  <si>
    <t>PWR</t>
  </si>
  <si>
    <t>Quanta Services Inc.</t>
  </si>
  <si>
    <t>http://www.sec.gov/cgi-bin/browse-edgar?action=getcompany&amp;CIK=PWR</t>
  </si>
  <si>
    <t>DGX</t>
  </si>
  <si>
    <t>Quest Diagnostics</t>
  </si>
  <si>
    <t>http://www.sec.gov/cgi-bin/browse-edgar?action=getcompany&amp;CIK=DGX</t>
  </si>
  <si>
    <t>RRC</t>
  </si>
  <si>
    <t>Range Resources Corp.</t>
  </si>
  <si>
    <t>http://www.sec.gov/cgi-bin/browse-edgar?action=getcompany&amp;CIK=RRC</t>
  </si>
  <si>
    <t>RJF</t>
  </si>
  <si>
    <t>Raymond James Financial Inc.</t>
  </si>
  <si>
    <t>http://www.sec.gov/cgi-bin/browse-edgar?action=getcompany&amp;CIK=RJF</t>
  </si>
  <si>
    <t>RTN</t>
  </si>
  <si>
    <t>Raytheon Co.</t>
  </si>
  <si>
    <t>http://www.sec.gov/cgi-bin/browse-edgar?action=getcompany&amp;CIK=RTN</t>
  </si>
  <si>
    <t>O</t>
  </si>
  <si>
    <t>Realty Income Corporation</t>
  </si>
  <si>
    <t>http://www.sec.gov/cgi-bin/browse-edgar?action=getcompany&amp;CIK=O</t>
  </si>
  <si>
    <t>RHT</t>
  </si>
  <si>
    <t>Red Hat Inc.</t>
  </si>
  <si>
    <t>http://www.sec.gov/cgi-bin/browse-edgar?action=getcompany&amp;CIK=RHT</t>
  </si>
  <si>
    <t>REG</t>
  </si>
  <si>
    <t>Regency Centers Corporation</t>
  </si>
  <si>
    <t>http://www.sec.gov/cgi-bin/browse-edgar?action=getcompany&amp;CIK=REG</t>
  </si>
  <si>
    <t>REGN</t>
  </si>
  <si>
    <t>Regeneron</t>
  </si>
  <si>
    <t>http://www.sec.gov/cgi-bin/browse-edgar?action=getcompany&amp;CIK=REGN</t>
  </si>
  <si>
    <t>RF</t>
  </si>
  <si>
    <t>Regions Financial Corp.</t>
  </si>
  <si>
    <t>http://www.sec.gov/cgi-bin/browse-edgar?action=getcompany&amp;CIK=RF</t>
  </si>
  <si>
    <t>RSG</t>
  </si>
  <si>
    <t>Republic Services Inc</t>
  </si>
  <si>
    <t>http://www.sec.gov/cgi-bin/browse-edgar?action=getcompany&amp;CIK=RSG</t>
  </si>
  <si>
    <t>RMD</t>
  </si>
  <si>
    <t>ResMed</t>
  </si>
  <si>
    <t>http://www.sec.gov/cgi-bin/browse-edgar?action=getcompany&amp;CIK=RMD</t>
  </si>
  <si>
    <t>RHI</t>
  </si>
  <si>
    <t>Robert Half International</t>
  </si>
  <si>
    <t>http://www.sec.gov/cgi-bin/browse-edgar?action=getcompany&amp;CIK=RHI</t>
  </si>
  <si>
    <t>ROK</t>
  </si>
  <si>
    <t>Rockwell Automation Inc.</t>
  </si>
  <si>
    <t>http://www.sec.gov/cgi-bin/browse-edgar?action=getcompany&amp;CIK=ROK</t>
  </si>
  <si>
    <t>COL</t>
  </si>
  <si>
    <t>Rockwell Collins</t>
  </si>
  <si>
    <t>http://www.sec.gov/cgi-bin/browse-edgar?action=getcompany&amp;CIK=COL</t>
  </si>
  <si>
    <t>ROP</t>
  </si>
  <si>
    <t>Roper Technologies</t>
  </si>
  <si>
    <t>http://www.sec.gov/cgi-bin/browse-edgar?action=getcompany&amp;CIK=ROP</t>
  </si>
  <si>
    <t>ROST</t>
  </si>
  <si>
    <t>Ross Stores</t>
  </si>
  <si>
    <t>http://www.sec.gov/cgi-bin/browse-edgar?action=getcompany&amp;CIK=ROST</t>
  </si>
  <si>
    <t>RCL</t>
  </si>
  <si>
    <t>Royal Caribbean Cruises Ltd</t>
  </si>
  <si>
    <t>http://www.sec.gov/cgi-bin/browse-edgar?action=getcompany&amp;CIK=RCL</t>
  </si>
  <si>
    <t>SPGI</t>
  </si>
  <si>
    <t>S&amp;P Global, Inc.</t>
  </si>
  <si>
    <t>http://www.sec.gov/cgi-bin/browse-edgar?action=getcompany&amp;CIK=SPGI</t>
  </si>
  <si>
    <t>CRM</t>
  </si>
  <si>
    <t>Salesforce.com</t>
  </si>
  <si>
    <t>http://www.sec.gov/cgi-bin/browse-edgar?action=getcompany&amp;CIK=CRM</t>
  </si>
  <si>
    <t>SBAC</t>
  </si>
  <si>
    <t>SBA Communications</t>
  </si>
  <si>
    <t>http://www.sec.gov/cgi-bin/browse-edgar?action=getcompany&amp;CIK=SBAC</t>
  </si>
  <si>
    <t>SCG</t>
  </si>
  <si>
    <t>SCANA Corp</t>
  </si>
  <si>
    <t>http://www.sec.gov/cgi-bin/browse-edgar?action=getcompany&amp;CIK=SCG</t>
  </si>
  <si>
    <t>SLB</t>
  </si>
  <si>
    <t>Schlumberger Ltd.</t>
  </si>
  <si>
    <t>http://www.sec.gov/cgi-bin/browse-edgar?action=getcompany&amp;CIK=SLB</t>
  </si>
  <si>
    <t>SNI</t>
  </si>
  <si>
    <t>Scripps Networks Interactive Inc.</t>
  </si>
  <si>
    <t>http://www.sec.gov/cgi-bin/browse-edgar?action=getcompany&amp;CIK=SNI</t>
  </si>
  <si>
    <t>STX</t>
  </si>
  <si>
    <t>Seagate Technology</t>
  </si>
  <si>
    <t>http://www.sec.gov/cgi-bin/browse-edgar?action=getcompany&amp;CIK=STX</t>
  </si>
  <si>
    <t>SEE</t>
  </si>
  <si>
    <t>Sealed Air</t>
  </si>
  <si>
    <t>http://www.sec.gov/cgi-bin/browse-edgar?action=getcompany&amp;CIK=SEE</t>
  </si>
  <si>
    <t>SRE</t>
  </si>
  <si>
    <t>Sempra Energy</t>
  </si>
  <si>
    <t>http://www.sec.gov/cgi-bin/browse-edgar?action=getcompany&amp;CIK=SRE</t>
  </si>
  <si>
    <t>SHW</t>
  </si>
  <si>
    <t>Sherwin-Williams</t>
  </si>
  <si>
    <t>http://www.sec.gov/cgi-bin/browse-edgar?action=getcompany&amp;CIK=SHW</t>
  </si>
  <si>
    <t>SIG</t>
  </si>
  <si>
    <t>Signet Jewelers</t>
  </si>
  <si>
    <t>http://www.sec.gov/cgi-bin/browse-edgar?action=getcompany&amp;CIK=SIG</t>
  </si>
  <si>
    <t>SPG</t>
  </si>
  <si>
    <t>Simon Property Group Inc</t>
  </si>
  <si>
    <t>http://www.sec.gov/cgi-bin/browse-edgar?action=getcompany&amp;CIK=SPG</t>
  </si>
  <si>
    <t>SWKS</t>
  </si>
  <si>
    <t>Skyworks Solutions</t>
  </si>
  <si>
    <t>http://www.sec.gov/cgi-bin/browse-edgar?action=getcompany&amp;CIK=SWKS</t>
  </si>
  <si>
    <t>SLG</t>
  </si>
  <si>
    <t>SL Green Realty</t>
  </si>
  <si>
    <t>http://www.sec.gov/cgi-bin/browse-edgar?action=getcompany&amp;CIK=SLG</t>
  </si>
  <si>
    <t>SNA</t>
  </si>
  <si>
    <t>Snap-On Inc.</t>
  </si>
  <si>
    <t>http://www.sec.gov/cgi-bin/browse-edgar?action=getcompany&amp;CIK=SNA</t>
  </si>
  <si>
    <t>SO</t>
  </si>
  <si>
    <t>Southern Co.</t>
  </si>
  <si>
    <t>http://www.sec.gov/cgi-bin/browse-edgar?action=getcompany&amp;CIK=SO</t>
  </si>
  <si>
    <t>LUV</t>
  </si>
  <si>
    <t>Southwest Airlines</t>
  </si>
  <si>
    <t>http://www.sec.gov/cgi-bin/browse-edgar?action=getcompany&amp;CIK=LUV</t>
  </si>
  <si>
    <t>SWK</t>
  </si>
  <si>
    <t>Stanley Black &amp; Decker</t>
  </si>
  <si>
    <t>http://www.sec.gov/cgi-bin/browse-edgar?action=getcompany&amp;CIK=SWK</t>
  </si>
  <si>
    <t>SBUX</t>
  </si>
  <si>
    <t>Starbucks Corp.</t>
  </si>
  <si>
    <t>http://www.sec.gov/cgi-bin/browse-edgar?action=getcompany&amp;CIK=SBUX</t>
  </si>
  <si>
    <t>STT</t>
  </si>
  <si>
    <t>State Street Corp.</t>
  </si>
  <si>
    <t>http://www.sec.gov/cgi-bin/browse-edgar?action=getcompany&amp;CIK=STT</t>
  </si>
  <si>
    <t>SRCL</t>
  </si>
  <si>
    <t>Stericycle Inc</t>
  </si>
  <si>
    <t>http://www.sec.gov/cgi-bin/browse-edgar?action=getcompany&amp;CIK=SRCL</t>
  </si>
  <si>
    <t>SYK</t>
  </si>
  <si>
    <t>Stryker Corp.</t>
  </si>
  <si>
    <t>http://www.sec.gov/cgi-bin/browse-edgar?action=getcompany&amp;CIK=SYK</t>
  </si>
  <si>
    <t>STI</t>
  </si>
  <si>
    <t>SunTrust Banks</t>
  </si>
  <si>
    <t>http://www.sec.gov/cgi-bin/browse-edgar?action=getcompany&amp;CIK=STI</t>
  </si>
  <si>
    <t>SYMC</t>
  </si>
  <si>
    <t>Symantec Corp.</t>
  </si>
  <si>
    <t>http://www.sec.gov/cgi-bin/browse-edgar?action=getcompany&amp;CIK=SYMC</t>
  </si>
  <si>
    <t>SYF</t>
  </si>
  <si>
    <t>Synchrony Financial</t>
  </si>
  <si>
    <t>http://www.sec.gov/cgi-bin/browse-edgar?action=getcompany&amp;CIK=SYF</t>
  </si>
  <si>
    <t>SNPS</t>
  </si>
  <si>
    <t>Synopsys Inc.</t>
  </si>
  <si>
    <t>http://www.sec.gov/cgi-bin/browse-edgar?action=getcompany&amp;CIK=SNPS</t>
  </si>
  <si>
    <t>SYY</t>
  </si>
  <si>
    <t>Sysco Corp.</t>
  </si>
  <si>
    <t>http://www.sec.gov/cgi-bin/browse-edgar?action=getcompany&amp;CIK=SYY</t>
  </si>
  <si>
    <t>TROW</t>
  </si>
  <si>
    <t>T. Rowe Price Group</t>
  </si>
  <si>
    <t>http://www.sec.gov/cgi-bin/browse-edgar?action=getcompany&amp;CIK=TROW</t>
  </si>
  <si>
    <t>TPR</t>
  </si>
  <si>
    <t>Tapestry, Inc.</t>
  </si>
  <si>
    <t>http://www.sec.gov/cgi-bin/browse-edgar?action=getcompany&amp;CIK=TPR</t>
  </si>
  <si>
    <t>TGT</t>
  </si>
  <si>
    <t>Target Corp.</t>
  </si>
  <si>
    <t>http://www.sec.gov/cgi-bin/browse-edgar?action=getcompany&amp;CIK=TGT</t>
  </si>
  <si>
    <t>TEL</t>
  </si>
  <si>
    <t>TE Connectivity Ltd.</t>
  </si>
  <si>
    <t>http://www.sec.gov/cgi-bin/browse-edgar?action=getcompany&amp;CIK=TEL</t>
  </si>
  <si>
    <t>FTI</t>
  </si>
  <si>
    <t>TechnipFMC</t>
  </si>
  <si>
    <t>http://www.sec.gov/cgi-bin/browse-edgar?action=getcompany&amp;CIK=FTI</t>
  </si>
  <si>
    <t>TXN</t>
  </si>
  <si>
    <t>Texas Instruments</t>
  </si>
  <si>
    <t>http://www.sec.gov/cgi-bin/browse-edgar?action=getcompany&amp;CIK=TXN</t>
  </si>
  <si>
    <t>TXT</t>
  </si>
  <si>
    <t>Textron Inc.</t>
  </si>
  <si>
    <t>http://www.sec.gov/cgi-bin/browse-edgar?action=getcompany&amp;CIK=TXT</t>
  </si>
  <si>
    <t>BK</t>
  </si>
  <si>
    <t>The Bank of New York Mellon Corp.</t>
  </si>
  <si>
    <t>http://www.sec.gov/cgi-bin/browse-edgar?action=getcompany&amp;CIK=BK</t>
  </si>
  <si>
    <t>CLX</t>
  </si>
  <si>
    <t>The Clorox Company</t>
  </si>
  <si>
    <t>http://www.sec.gov/cgi-bin/browse-edgar?action=getcompany&amp;CIK=CLX</t>
  </si>
  <si>
    <t>COO</t>
  </si>
  <si>
    <t>The Cooper Companies</t>
  </si>
  <si>
    <t>http://www.sec.gov/cgi-bin/browse-edgar?action=getcompany&amp;CIK=COO</t>
  </si>
  <si>
    <t>HSY</t>
  </si>
  <si>
    <t>The Hershey Company</t>
  </si>
  <si>
    <t>http://www.sec.gov/cgi-bin/browse-edgar?action=getcompany&amp;CIK=HSY</t>
  </si>
  <si>
    <t>MOS</t>
  </si>
  <si>
    <t>The Mosaic Company</t>
  </si>
  <si>
    <t>http://www.sec.gov/cgi-bin/browse-edgar?action=getcompany&amp;CIK=MOS</t>
  </si>
  <si>
    <t>TRV</t>
  </si>
  <si>
    <t>The Travelers Companies Inc.</t>
  </si>
  <si>
    <t>http://www.sec.gov/cgi-bin/browse-edgar?action=getcompany&amp;CIK=TRV</t>
  </si>
  <si>
    <t>DIS</t>
  </si>
  <si>
    <t>The Walt Disney Company</t>
  </si>
  <si>
    <t>http://www.sec.gov/cgi-bin/browse-edgar?action=getcompany&amp;CIK=DIS</t>
  </si>
  <si>
    <t>TMO</t>
  </si>
  <si>
    <t>Thermo Fisher Scientific</t>
  </si>
  <si>
    <t>http://www.sec.gov/cgi-bin/browse-edgar?action=getcompany&amp;CIK=TMO</t>
  </si>
  <si>
    <t>TIF</t>
  </si>
  <si>
    <t>Tiffany &amp; Co.</t>
  </si>
  <si>
    <t>http://www.sec.gov/cgi-bin/browse-edgar?action=getcompany&amp;CIK=TIF</t>
  </si>
  <si>
    <t>TWX</t>
  </si>
  <si>
    <t>Time Warner Inc.</t>
  </si>
  <si>
    <t>http://www.sec.gov/cgi-bin/browse-edgar?action=getcompany&amp;CIK=TWX</t>
  </si>
  <si>
    <t>TJX</t>
  </si>
  <si>
    <t>TJX Companies Inc.</t>
  </si>
  <si>
    <t>http://www.sec.gov/cgi-bin/browse-edgar?action=getcompany&amp;CIK=TJX</t>
  </si>
  <si>
    <t>TMK</t>
  </si>
  <si>
    <t>Torchmark Corp.</t>
  </si>
  <si>
    <t>http://www.sec.gov/cgi-bin/browse-edgar?action=getcompany&amp;CIK=TMK</t>
  </si>
  <si>
    <t>TSS</t>
  </si>
  <si>
    <t>Total System Services</t>
  </si>
  <si>
    <t>http://www.sec.gov/cgi-bin/browse-edgar?action=getcompany&amp;CIK=TSS</t>
  </si>
  <si>
    <t>TSCO</t>
  </si>
  <si>
    <t>Tractor Supply Company</t>
  </si>
  <si>
    <t>http://www.sec.gov/cgi-bin/browse-edgar?action=getcompany&amp;CIK=TSCO</t>
  </si>
  <si>
    <t>TDG</t>
  </si>
  <si>
    <t>TransDigm Group</t>
  </si>
  <si>
    <t>http://www.sec.gov/cgi-bin/browse-edgar?action=getcompany&amp;CIK=TDG</t>
  </si>
  <si>
    <t>TRIP</t>
  </si>
  <si>
    <t>TripAdvisor</t>
  </si>
  <si>
    <t>http://www.sec.gov/cgi-bin/browse-edgar?action=getcompany&amp;CIK=TRIP</t>
  </si>
  <si>
    <t>FOXA</t>
  </si>
  <si>
    <t>Twenty-First Century Fox Class A</t>
  </si>
  <si>
    <t>http://www.sec.gov/cgi-bin/browse-edgar?action=getcompany&amp;CIK=FOXA</t>
  </si>
  <si>
    <t>FOX</t>
  </si>
  <si>
    <t>Twenty-First Century Fox Class B</t>
  </si>
  <si>
    <t>http://www.sec.gov/cgi-bin/browse-edgar?action=getcompany&amp;CIK=FOX</t>
  </si>
  <si>
    <t>TSN</t>
  </si>
  <si>
    <t>Tyson Foods</t>
  </si>
  <si>
    <t>http://www.sec.gov/cgi-bin/browse-edgar?action=getcompany&amp;CIK=TSN</t>
  </si>
  <si>
    <t>USB</t>
  </si>
  <si>
    <t>U.S. Bancorp</t>
  </si>
  <si>
    <t>http://www.sec.gov/cgi-bin/browse-edgar?action=getcompany&amp;CIK=USB</t>
  </si>
  <si>
    <t>UDR</t>
  </si>
  <si>
    <t>UDR Inc</t>
  </si>
  <si>
    <t>http://www.sec.gov/cgi-bin/browse-edgar?action=getcompany&amp;CIK=UDR</t>
  </si>
  <si>
    <t>ULTA</t>
  </si>
  <si>
    <t>Ulta Salon Cosmetics &amp; Fragrance Inc</t>
  </si>
  <si>
    <t>http://www.sec.gov/cgi-bin/browse-edgar?action=getcompany&amp;CIK=ULTA</t>
  </si>
  <si>
    <t>UAA</t>
  </si>
  <si>
    <t>Under Armour Class A</t>
  </si>
  <si>
    <t>http://www.sec.gov/cgi-bin/browse-edgar?action=getcompany&amp;CIK=UAA</t>
  </si>
  <si>
    <t>UA</t>
  </si>
  <si>
    <t>Under Armour Class C</t>
  </si>
  <si>
    <t>http://www.sec.gov/cgi-bin/browse-edgar?action=getcompany&amp;CIK=UA</t>
  </si>
  <si>
    <t>UNP</t>
  </si>
  <si>
    <t>Union Pacific</t>
  </si>
  <si>
    <t>http://www.sec.gov/cgi-bin/browse-edgar?action=getcompany&amp;CIK=UNP</t>
  </si>
  <si>
    <t>UAL</t>
  </si>
  <si>
    <t>United Continental Holdings</t>
  </si>
  <si>
    <t>http://www.sec.gov/cgi-bin/browse-edgar?action=getcompany&amp;CIK=UAL</t>
  </si>
  <si>
    <t>UNH</t>
  </si>
  <si>
    <t>United Health Group Inc.</t>
  </si>
  <si>
    <t>http://www.sec.gov/cgi-bin/browse-edgar?action=getcompany&amp;CIK=UNH</t>
  </si>
  <si>
    <t>UPS</t>
  </si>
  <si>
    <t>United Parcel Service</t>
  </si>
  <si>
    <t>http://www.sec.gov/cgi-bin/browse-edgar?action=getcompany&amp;CIK=UPS</t>
  </si>
  <si>
    <t>URI</t>
  </si>
  <si>
    <t>United Rentals, Inc.</t>
  </si>
  <si>
    <t>http://www.sec.gov/cgi-bin/browse-edgar?action=getcompany&amp;CIK=URI</t>
  </si>
  <si>
    <t>UTX</t>
  </si>
  <si>
    <t>United Technologies</t>
  </si>
  <si>
    <t>http://www.sec.gov/cgi-bin/browse-edgar?action=getcompany&amp;CIK=UTX</t>
  </si>
  <si>
    <t>UHS</t>
  </si>
  <si>
    <t>Universal Health Services, Inc.</t>
  </si>
  <si>
    <t>http://www.sec.gov/cgi-bin/browse-edgar?action=getcompany&amp;CIK=UHS</t>
  </si>
  <si>
    <t>UNM</t>
  </si>
  <si>
    <t>Unum Group</t>
  </si>
  <si>
    <t>http://www.sec.gov/cgi-bin/browse-edgar?action=getcompany&amp;CIK=UNM</t>
  </si>
  <si>
    <t>VFC</t>
  </si>
  <si>
    <t>V.F. Corp.</t>
  </si>
  <si>
    <t>http://www.sec.gov/cgi-bin/browse-edgar?action=getcompany&amp;CIK=VFC</t>
  </si>
  <si>
    <t>VLO</t>
  </si>
  <si>
    <t>Valero Energy</t>
  </si>
  <si>
    <t>http://www.sec.gov/cgi-bin/browse-edgar?action=getcompany&amp;CIK=VLO</t>
  </si>
  <si>
    <t>VAR</t>
  </si>
  <si>
    <t>Varian Medical Systems</t>
  </si>
  <si>
    <t>http://www.sec.gov/cgi-bin/browse-edgar?action=getcompany&amp;CIK=VAR</t>
  </si>
  <si>
    <t>VTR</t>
  </si>
  <si>
    <t>Ventas Inc</t>
  </si>
  <si>
    <t>http://www.sec.gov/cgi-bin/browse-edgar?action=getcompany&amp;CIK=VTR</t>
  </si>
  <si>
    <t>VRSN</t>
  </si>
  <si>
    <t>Verisign Inc.</t>
  </si>
  <si>
    <t>http://www.sec.gov/cgi-bin/browse-edgar?action=getcompany&amp;CIK=VRSN</t>
  </si>
  <si>
    <t>VRSK</t>
  </si>
  <si>
    <t>Verisk Analytics</t>
  </si>
  <si>
    <t>http://www.sec.gov/cgi-bin/browse-edgar?action=getcompany&amp;CIK=VRSK</t>
  </si>
  <si>
    <t>VZ</t>
  </si>
  <si>
    <t>Verizon Communications</t>
  </si>
  <si>
    <t>http://www.sec.gov/cgi-bin/browse-edgar?action=getcompany&amp;CIK=VZ</t>
  </si>
  <si>
    <t>VRTX</t>
  </si>
  <si>
    <t>Vertex Pharmaceuticals Inc</t>
  </si>
  <si>
    <t>http://www.sec.gov/cgi-bin/browse-edgar?action=getcompany&amp;CIK=VRTX</t>
  </si>
  <si>
    <t>VIAB</t>
  </si>
  <si>
    <t>Viacom Inc.</t>
  </si>
  <si>
    <t>http://www.sec.gov/cgi-bin/browse-edgar?action=getcompany&amp;CIK=VIAB</t>
  </si>
  <si>
    <t>V</t>
  </si>
  <si>
    <t>Visa Inc.</t>
  </si>
  <si>
    <t>http://www.sec.gov/cgi-bin/browse-edgar?action=getcompany&amp;CIK=V</t>
  </si>
  <si>
    <t>VNO</t>
  </si>
  <si>
    <t>Vornado Realty Trust</t>
  </si>
  <si>
    <t>http://www.sec.gov/cgi-bin/browse-edgar?action=getcompany&amp;CIK=VNO</t>
  </si>
  <si>
    <t>VMC</t>
  </si>
  <si>
    <t>Vulcan Materials</t>
  </si>
  <si>
    <t>http://www.sec.gov/cgi-bin/browse-edgar?action=getcompany&amp;CIK=VMC</t>
  </si>
  <si>
    <t>WMT</t>
  </si>
  <si>
    <t>Wal-Mart Stores</t>
  </si>
  <si>
    <t>http://www.sec.gov/cgi-bin/browse-edgar?action=getcompany&amp;CIK=WMT</t>
  </si>
  <si>
    <t>WBA</t>
  </si>
  <si>
    <t>Walgreens Boots Alliance</t>
  </si>
  <si>
    <t>http://www.sec.gov/cgi-bin/browse-edgar?action=getcompany&amp;CIK=WBA</t>
  </si>
  <si>
    <t>WM</t>
  </si>
  <si>
    <t>Waste Management Inc.</t>
  </si>
  <si>
    <t>http://www.sec.gov/cgi-bin/browse-edgar?action=getcompany&amp;CIK=WM</t>
  </si>
  <si>
    <t>WAT</t>
  </si>
  <si>
    <t>Waters Corporation</t>
  </si>
  <si>
    <t>http://www.sec.gov/cgi-bin/browse-edgar?action=getcompany&amp;CIK=WAT</t>
  </si>
  <si>
    <t>WEC</t>
  </si>
  <si>
    <t>Wec Energy Group Inc</t>
  </si>
  <si>
    <t>http://www.sec.gov/cgi-bin/browse-edgar?action=getcompany&amp;CIK=WEC</t>
  </si>
  <si>
    <t>WFC</t>
  </si>
  <si>
    <t>Wells Fargo</t>
  </si>
  <si>
    <t>http://www.sec.gov/cgi-bin/browse-edgar?action=getcompany&amp;CIK=WFC</t>
  </si>
  <si>
    <t>HCN</t>
  </si>
  <si>
    <t>Welltower Inc.</t>
  </si>
  <si>
    <t>http://www.sec.gov/cgi-bin/browse-edgar?action=getcompany&amp;CIK=HCN</t>
  </si>
  <si>
    <t>WDC</t>
  </si>
  <si>
    <t>Western Digital</t>
  </si>
  <si>
    <t>http://www.sec.gov/cgi-bin/browse-edgar?action=getcompany&amp;CIK=WDC</t>
  </si>
  <si>
    <t>WU</t>
  </si>
  <si>
    <t>Western Union Co</t>
  </si>
  <si>
    <t>http://www.sec.gov/cgi-bin/browse-edgar?action=getcompany&amp;CIK=WU</t>
  </si>
  <si>
    <t>WRK</t>
  </si>
  <si>
    <t>WestRock Company</t>
  </si>
  <si>
    <t>http://www.sec.gov/cgi-bin/browse-edgar?action=getcompany&amp;CIK=WRK</t>
  </si>
  <si>
    <t>WY</t>
  </si>
  <si>
    <t>Weyerhaeuser Corp.</t>
  </si>
  <si>
    <t>http://www.sec.gov/cgi-bin/browse-edgar?action=getcompany&amp;CIK=WY</t>
  </si>
  <si>
    <t>WHR</t>
  </si>
  <si>
    <t>Whirlpool Corp.</t>
  </si>
  <si>
    <t>http://www.sec.gov/cgi-bin/browse-edgar?action=getcompany&amp;CIK=WHR</t>
  </si>
  <si>
    <t>WMB</t>
  </si>
  <si>
    <t>Williams Cos.</t>
  </si>
  <si>
    <t>http://www.sec.gov/cgi-bin/browse-edgar?action=getcompany&amp;CIK=WMB</t>
  </si>
  <si>
    <t>WLTW</t>
  </si>
  <si>
    <t>Willis Towers Watson</t>
  </si>
  <si>
    <t>http://www.sec.gov/cgi-bin/browse-edgar?action=getcompany&amp;CIK=WLTW</t>
  </si>
  <si>
    <t>WYN</t>
  </si>
  <si>
    <t>Wyndham Worldwide</t>
  </si>
  <si>
    <t>http://www.sec.gov/cgi-bin/browse-edgar?action=getcompany&amp;CIK=WYN</t>
  </si>
  <si>
    <t>WYNN</t>
  </si>
  <si>
    <t>Wynn Resorts Ltd</t>
  </si>
  <si>
    <t>http://www.sec.gov/cgi-bin/browse-edgar?action=getcompany&amp;CIK=WYNN</t>
  </si>
  <si>
    <t>XEL</t>
  </si>
  <si>
    <t>Xcel Energy Inc</t>
  </si>
  <si>
    <t>http://www.sec.gov/cgi-bin/browse-edgar?action=getcompany&amp;CIK=XEL</t>
  </si>
  <si>
    <t>XRX</t>
  </si>
  <si>
    <t>Xerox Corp.</t>
  </si>
  <si>
    <t>http://www.sec.gov/cgi-bin/browse-edgar?action=getcompany&amp;CIK=XRX</t>
  </si>
  <si>
    <t>XLNX</t>
  </si>
  <si>
    <t>Xilinx Inc</t>
  </si>
  <si>
    <t>http://www.sec.gov/cgi-bin/browse-edgar?action=getcompany&amp;CIK=XLNX</t>
  </si>
  <si>
    <t>XL</t>
  </si>
  <si>
    <t>XL Capital</t>
  </si>
  <si>
    <t>http://www.sec.gov/cgi-bin/browse-edgar?action=getcompany&amp;CIK=XL</t>
  </si>
  <si>
    <t>XYL</t>
  </si>
  <si>
    <t>Xylem Inc.</t>
  </si>
  <si>
    <t>http://www.sec.gov/cgi-bin/browse-edgar?action=getcompany&amp;CIK=XYL</t>
  </si>
  <si>
    <t>YUM</t>
  </si>
  <si>
    <t>Yum! Brands Inc</t>
  </si>
  <si>
    <t>http://www.sec.gov/cgi-bin/browse-edgar?action=getcompany&amp;CIK=YUM</t>
  </si>
  <si>
    <t>ZBH</t>
  </si>
  <si>
    <t>Zimmer Biomet Holdings</t>
  </si>
  <si>
    <t>http://www.sec.gov/cgi-bin/browse-edgar?action=getcompany&amp;CIK=ZBH</t>
  </si>
  <si>
    <t>ZION</t>
  </si>
  <si>
    <t>Zions Bancorp</t>
  </si>
  <si>
    <t>http://www.sec.gov/cgi-bin/browse-edgar?action=getcompany&amp;CIK=ZION</t>
  </si>
  <si>
    <t>ZTS</t>
  </si>
  <si>
    <t>Zoetis</t>
  </si>
  <si>
    <t>http://www.sec.gov/cgi-bin/browse-edgar?action=getcompany&amp;CIK=ZTS</t>
  </si>
  <si>
    <t>Grand Total</t>
  </si>
  <si>
    <t>Sum of Market Cap (bn)</t>
  </si>
  <si>
    <t>Average of Price/Earnings</t>
  </si>
  <si>
    <t>Average of Dividend Yield</t>
  </si>
  <si>
    <t>Average of Market Cap (bn)</t>
  </si>
  <si>
    <t>Count of Symbol  (Companies)</t>
  </si>
  <si>
    <t>SUMMARY OUTPUT</t>
  </si>
  <si>
    <t>Regression Statistics</t>
  </si>
  <si>
    <t>Multiple R</t>
  </si>
  <si>
    <t>R Square</t>
  </si>
  <si>
    <t>Adjusted R Square</t>
  </si>
  <si>
    <t>Standard Error</t>
  </si>
  <si>
    <t>Observations</t>
  </si>
  <si>
    <t>ANOVA</t>
  </si>
  <si>
    <t>Regression</t>
  </si>
  <si>
    <t>Residual</t>
  </si>
  <si>
    <t>Total</t>
  </si>
  <si>
    <t>Intercept</t>
  </si>
  <si>
    <t>df</t>
  </si>
  <si>
    <t>SS</t>
  </si>
  <si>
    <t>Significance F</t>
  </si>
  <si>
    <t>Coefficients</t>
  </si>
  <si>
    <t>t Stat</t>
  </si>
  <si>
    <t>P-value</t>
  </si>
  <si>
    <t>Lower 95%</t>
  </si>
  <si>
    <t>Upper 95%</t>
  </si>
  <si>
    <t>Lower 95.0%</t>
  </si>
  <si>
    <t>Upper 95.0%</t>
  </si>
  <si>
    <t>RESIDUAL OUTPUT</t>
  </si>
  <si>
    <t>Observation</t>
  </si>
  <si>
    <t>Predicted Market Cap (bn)</t>
  </si>
  <si>
    <t>Residuals</t>
  </si>
  <si>
    <t>Forecast 1</t>
  </si>
  <si>
    <t>Forecast 3</t>
  </si>
  <si>
    <t>Model</t>
  </si>
  <si>
    <t>M 1</t>
  </si>
  <si>
    <t>M 2</t>
  </si>
  <si>
    <t>M 3</t>
  </si>
  <si>
    <t>MSE</t>
  </si>
  <si>
    <t>MAPE</t>
  </si>
  <si>
    <t>Forecast 2</t>
  </si>
  <si>
    <t>Cumulative %</t>
  </si>
  <si>
    <t>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</si>
</sst>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wrapText="1"/>
    </xf>
    <xf numFmtId="10" fontId="0" fillId="0" borderId="0" xfId="0" applyNumberFormat="1"/>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11" fontId="0" fillId="0" borderId="0" xfId="0" applyNumberFormat="1"/>
    <xf numFmtId="10" fontId="0" fillId="0" borderId="0" xfId="1" applyNumberFormat="1" applyFont="1"/>
  </cellXfs>
  <cellStyles count="2">
    <cellStyle name="Normal" xfId="0" builtinId="0"/>
    <cellStyle name="Percent" xfId="1" builtinId="5"/>
  </cellStyles>
  <dxfs count="10">
    <dxf>
      <numFmt numFmtId="14" formatCode="0.00%"/>
    </dxf>
    <dxf>
      <numFmt numFmtId="14" formatCode="0.00%"/>
    </dxf>
    <dxf>
      <alignment wrapText="1"/>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4" formatCode="0.0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s>
  <tableStyles count="1" defaultTableStyle="TableStyleMedium2" defaultPivotStyle="PivotStyleLight16">
    <tableStyle name="Invisible" pivot="0" table="0" count="0" xr9:uid="{8996B3C8-55DA-4343-998E-9BF066204F8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[Εργασία.xlsx]Pivot Charts with Slicer!PivotTable1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l-GR"/>
              <a:t>Συνολική κεφαλαιοποίηση ανά κλάδο (δισ.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glow rad="127000">
                <a:schemeClr val="accent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Charts with Slicer'!$B$3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a:glow rad="127000">
                  <a:schemeClr val="accent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 with Slicer'!$A$4:$A$15</c:f>
              <c:strCache>
                <c:ptCount val="11"/>
                <c:pt idx="0">
                  <c:v>Information Technology</c:v>
                </c:pt>
                <c:pt idx="1">
                  <c:v>Financials</c:v>
                </c:pt>
                <c:pt idx="2">
                  <c:v>Health Care</c:v>
                </c:pt>
                <c:pt idx="3">
                  <c:v>Consumer Discretionary</c:v>
                </c:pt>
                <c:pt idx="4">
                  <c:v>Industrials</c:v>
                </c:pt>
                <c:pt idx="5">
                  <c:v>Consumer Staples</c:v>
                </c:pt>
                <c:pt idx="6">
                  <c:v>Energy</c:v>
                </c:pt>
                <c:pt idx="7">
                  <c:v>Materials</c:v>
                </c:pt>
                <c:pt idx="8">
                  <c:v>Real Estate</c:v>
                </c:pt>
                <c:pt idx="9">
                  <c:v>Utilities</c:v>
                </c:pt>
                <c:pt idx="10">
                  <c:v>Telecommunication Services</c:v>
                </c:pt>
              </c:strCache>
            </c:strRef>
          </c:cat>
          <c:val>
            <c:numRef>
              <c:f>'Pivot Charts with Slicer'!$B$4:$B$15</c:f>
              <c:numCache>
                <c:formatCode>General</c:formatCode>
                <c:ptCount val="11"/>
                <c:pt idx="0">
                  <c:v>6727.2000000000025</c:v>
                </c:pt>
                <c:pt idx="1">
                  <c:v>3442.8000000000006</c:v>
                </c:pt>
                <c:pt idx="2">
                  <c:v>3244.4</c:v>
                </c:pt>
                <c:pt idx="3">
                  <c:v>3213.3000000000011</c:v>
                </c:pt>
                <c:pt idx="4">
                  <c:v>2411.1</c:v>
                </c:pt>
                <c:pt idx="5">
                  <c:v>2087.0000000000005</c:v>
                </c:pt>
                <c:pt idx="6">
                  <c:v>1357.3</c:v>
                </c:pt>
                <c:pt idx="7">
                  <c:v>692.40000000000009</c:v>
                </c:pt>
                <c:pt idx="8">
                  <c:v>625.49999999999989</c:v>
                </c:pt>
                <c:pt idx="9">
                  <c:v>611.5</c:v>
                </c:pt>
                <c:pt idx="10">
                  <c:v>453</c:v>
                </c:pt>
              </c:numCache>
            </c:numRef>
          </c:val>
          <c:extLst>
            <c:ext xmlns:c16="http://schemas.microsoft.com/office/drawing/2014/chart" uri="{C3380CC4-5D6E-409C-BE32-E72D297353CC}">
              <c16:uniqueId val="{00000000-5E71-41EB-84F5-4CCC5E8E4722}"/>
            </c:ext>
          </c:extLst>
        </c:ser>
        <c:dLbls>
          <c:dLblPos val="inEnd"/>
          <c:showLegendKey val="0"/>
          <c:showVal val="1"/>
          <c:showCatName val="0"/>
          <c:showSerName val="0"/>
          <c:showPercent val="0"/>
          <c:showBubbleSize val="0"/>
        </c:dLbls>
        <c:gapWidth val="150"/>
        <c:overlap val="100"/>
        <c:axId val="1160263824"/>
        <c:axId val="1164451184"/>
      </c:barChart>
      <c:catAx>
        <c:axId val="1160263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451184"/>
        <c:crosses val="autoZero"/>
        <c:auto val="1"/>
        <c:lblAlgn val="ctr"/>
        <c:lblOffset val="100"/>
        <c:noMultiLvlLbl val="0"/>
      </c:catAx>
      <c:valAx>
        <c:axId val="116445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26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[Εργασία.xlsx]Pivot Charts with Slicer!PivotTable2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l-GR"/>
              <a:t>Μέσος δείκτης </a:t>
            </a:r>
            <a:r>
              <a:rPr lang="en-US"/>
              <a:t>P/E </a:t>
            </a:r>
            <a:r>
              <a:rPr lang="el-GR"/>
              <a:t>και μέση μερισματική απόδοση ανά κλάδο</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 with Slicer'!$G$3</c:f>
              <c:strCache>
                <c:ptCount val="1"/>
                <c:pt idx="0">
                  <c:v>Average of Price/Earnings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 with Slicer'!$F$4:$F$15</c:f>
              <c:strCache>
                <c:ptCount val="11"/>
                <c:pt idx="0">
                  <c:v>Consumer Discretionary</c:v>
                </c:pt>
                <c:pt idx="1">
                  <c:v>Consumer Staples</c:v>
                </c:pt>
                <c:pt idx="2">
                  <c:v>Energy</c:v>
                </c:pt>
                <c:pt idx="3">
                  <c:v>Financials</c:v>
                </c:pt>
                <c:pt idx="4">
                  <c:v>Health Care</c:v>
                </c:pt>
                <c:pt idx="5">
                  <c:v>Industrials</c:v>
                </c:pt>
                <c:pt idx="6">
                  <c:v>Information Technology</c:v>
                </c:pt>
                <c:pt idx="7">
                  <c:v>Materials</c:v>
                </c:pt>
                <c:pt idx="8">
                  <c:v>Real Estate</c:v>
                </c:pt>
                <c:pt idx="9">
                  <c:v>Telecommunication Services</c:v>
                </c:pt>
                <c:pt idx="10">
                  <c:v>Utilities</c:v>
                </c:pt>
              </c:strCache>
            </c:strRef>
          </c:cat>
          <c:val>
            <c:numRef>
              <c:f>'Pivot Charts with Slicer'!$G$4:$G$15</c:f>
              <c:numCache>
                <c:formatCode>0.00</c:formatCode>
                <c:ptCount val="11"/>
                <c:pt idx="0">
                  <c:v>25.536024096385535</c:v>
                </c:pt>
                <c:pt idx="1">
                  <c:v>21.963235294117652</c:v>
                </c:pt>
                <c:pt idx="2">
                  <c:v>38.559062500000003</c:v>
                </c:pt>
                <c:pt idx="3">
                  <c:v>17.198970588235291</c:v>
                </c:pt>
                <c:pt idx="4">
                  <c:v>23.437833333333334</c:v>
                </c:pt>
                <c:pt idx="5">
                  <c:v>21.494328358208953</c:v>
                </c:pt>
                <c:pt idx="6">
                  <c:v>37.179857142857138</c:v>
                </c:pt>
                <c:pt idx="7">
                  <c:v>20.542399999999997</c:v>
                </c:pt>
                <c:pt idx="8">
                  <c:v>22.459090909090907</c:v>
                </c:pt>
                <c:pt idx="9">
                  <c:v>11.19</c:v>
                </c:pt>
                <c:pt idx="10">
                  <c:v>16.846428571428572</c:v>
                </c:pt>
              </c:numCache>
            </c:numRef>
          </c:val>
          <c:extLst>
            <c:ext xmlns:c16="http://schemas.microsoft.com/office/drawing/2014/chart" uri="{C3380CC4-5D6E-409C-BE32-E72D297353CC}">
              <c16:uniqueId val="{00000000-6D8E-4EA2-A013-940206C27BC2}"/>
            </c:ext>
          </c:extLst>
        </c:ser>
        <c:dLbls>
          <c:showLegendKey val="0"/>
          <c:showVal val="0"/>
          <c:showCatName val="0"/>
          <c:showSerName val="0"/>
          <c:showPercent val="0"/>
          <c:showBubbleSize val="0"/>
        </c:dLbls>
        <c:gapWidth val="219"/>
        <c:overlap val="-27"/>
        <c:axId val="1106803216"/>
        <c:axId val="1164427664"/>
      </c:barChart>
      <c:lineChart>
        <c:grouping val="standard"/>
        <c:varyColors val="0"/>
        <c:ser>
          <c:idx val="1"/>
          <c:order val="1"/>
          <c:tx>
            <c:strRef>
              <c:f>'Pivot Charts with Slicer'!$H$3</c:f>
              <c:strCache>
                <c:ptCount val="1"/>
                <c:pt idx="0">
                  <c:v>Average of Dividend Yield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Charts with Slicer'!$F$4:$F$15</c:f>
              <c:strCache>
                <c:ptCount val="11"/>
                <c:pt idx="0">
                  <c:v>Consumer Discretionary</c:v>
                </c:pt>
                <c:pt idx="1">
                  <c:v>Consumer Staples</c:v>
                </c:pt>
                <c:pt idx="2">
                  <c:v>Energy</c:v>
                </c:pt>
                <c:pt idx="3">
                  <c:v>Financials</c:v>
                </c:pt>
                <c:pt idx="4">
                  <c:v>Health Care</c:v>
                </c:pt>
                <c:pt idx="5">
                  <c:v>Industrials</c:v>
                </c:pt>
                <c:pt idx="6">
                  <c:v>Information Technology</c:v>
                </c:pt>
                <c:pt idx="7">
                  <c:v>Materials</c:v>
                </c:pt>
                <c:pt idx="8">
                  <c:v>Real Estate</c:v>
                </c:pt>
                <c:pt idx="9">
                  <c:v>Telecommunication Services</c:v>
                </c:pt>
                <c:pt idx="10">
                  <c:v>Utilities</c:v>
                </c:pt>
              </c:strCache>
            </c:strRef>
          </c:cat>
          <c:val>
            <c:numRef>
              <c:f>'Pivot Charts with Slicer'!$H$4:$H$15</c:f>
              <c:numCache>
                <c:formatCode>0.00</c:formatCode>
                <c:ptCount val="11"/>
                <c:pt idx="0">
                  <c:v>1.5724123550595246</c:v>
                </c:pt>
                <c:pt idx="1">
                  <c:v>2.4333909676470591</c:v>
                </c:pt>
                <c:pt idx="2">
                  <c:v>2.0144521346874997</c:v>
                </c:pt>
                <c:pt idx="3">
                  <c:v>2.0172406950000004</c:v>
                </c:pt>
                <c:pt idx="4">
                  <c:v>0.91724331140983606</c:v>
                </c:pt>
                <c:pt idx="5">
                  <c:v>1.4793919437313434</c:v>
                </c:pt>
                <c:pt idx="6">
                  <c:v>1.2284936224714285</c:v>
                </c:pt>
                <c:pt idx="7">
                  <c:v>1.7379759480000001</c:v>
                </c:pt>
                <c:pt idx="8">
                  <c:v>3.8947580909090909</c:v>
                </c:pt>
                <c:pt idx="9">
                  <c:v>7.5677970999999999</c:v>
                </c:pt>
                <c:pt idx="10">
                  <c:v>3.7592243428571424</c:v>
                </c:pt>
              </c:numCache>
            </c:numRef>
          </c:val>
          <c:smooth val="0"/>
          <c:extLst>
            <c:ext xmlns:c16="http://schemas.microsoft.com/office/drawing/2014/chart" uri="{C3380CC4-5D6E-409C-BE32-E72D297353CC}">
              <c16:uniqueId val="{00000001-6D8E-4EA2-A013-940206C27BC2}"/>
            </c:ext>
          </c:extLst>
        </c:ser>
        <c:dLbls>
          <c:showLegendKey val="0"/>
          <c:showVal val="0"/>
          <c:showCatName val="0"/>
          <c:showSerName val="0"/>
          <c:showPercent val="0"/>
          <c:showBubbleSize val="0"/>
        </c:dLbls>
        <c:marker val="1"/>
        <c:smooth val="0"/>
        <c:axId val="1106737792"/>
        <c:axId val="1164429584"/>
      </c:lineChart>
      <c:catAx>
        <c:axId val="1106803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427664"/>
        <c:crosses val="autoZero"/>
        <c:auto val="1"/>
        <c:lblAlgn val="ctr"/>
        <c:lblOffset val="100"/>
        <c:noMultiLvlLbl val="0"/>
      </c:catAx>
      <c:valAx>
        <c:axId val="116442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l-GR" b="1"/>
                  <a:t>Μέσο </a:t>
                </a:r>
                <a:r>
                  <a:rPr lang="en-US" b="1"/>
                  <a:t>P/E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803216"/>
        <c:crosses val="autoZero"/>
        <c:crossBetween val="between"/>
      </c:valAx>
      <c:valAx>
        <c:axId val="1164429584"/>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l-GR" b="1"/>
                  <a:t>Μέση μερισματική απόδοση (%)</a:t>
                </a:r>
              </a:p>
            </c:rich>
          </c:tx>
          <c:layout>
            <c:manualLayout>
              <c:xMode val="edge"/>
              <c:yMode val="edge"/>
              <c:x val="0.62288673839434194"/>
              <c:y val="0.2317592592592592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737792"/>
        <c:crosses val="max"/>
        <c:crossBetween val="between"/>
      </c:valAx>
      <c:catAx>
        <c:axId val="1106737792"/>
        <c:scaling>
          <c:orientation val="minMax"/>
        </c:scaling>
        <c:delete val="1"/>
        <c:axPos val="b"/>
        <c:numFmt formatCode="General" sourceLinked="1"/>
        <c:majorTickMark val="none"/>
        <c:minorTickMark val="none"/>
        <c:tickLblPos val="nextTo"/>
        <c:crossAx val="1164429584"/>
        <c:crosses val="autoZero"/>
        <c:auto val="1"/>
        <c:lblAlgn val="ctr"/>
        <c:lblOffset val="100"/>
        <c:noMultiLvlLbl val="0"/>
      </c:catAx>
      <c:spPr>
        <a:noFill/>
        <a:ln>
          <a:noFill/>
        </a:ln>
        <a:effectLst/>
      </c:spPr>
    </c:plotArea>
    <c:legend>
      <c:legendPos val="r"/>
      <c:layout>
        <c:manualLayout>
          <c:xMode val="edge"/>
          <c:yMode val="edge"/>
          <c:x val="0.72765943379214992"/>
          <c:y val="0.49145778652668415"/>
          <c:w val="0.2"/>
          <c:h val="0.31828813065033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[Εργασία.xlsx]Pivot Chart!PivotTable3</c:name>
    <c:fmtId val="4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l-GR" sz="1600" b="1" i="1" u="none" strike="noStrike" baseline="0">
                <a:effectLst/>
              </a:rPr>
              <a:t>Πλήθος εταιρειών και μέση κεφαλαιοποίηση ανά κλάδο</a:t>
            </a:r>
            <a:endParaRPr lang="en-US" sz="1600" b="1" i="1" u="none" strike="noStrike" baseline="0">
              <a:effectLst/>
            </a:endParaRP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88779527559054"/>
          <c:y val="0.2142063628741061"/>
          <c:w val="0.51001640419947503"/>
          <c:h val="0.38536125692621753"/>
        </c:manualLayout>
      </c:layout>
      <c:barChart>
        <c:barDir val="col"/>
        <c:grouping val="clustered"/>
        <c:varyColors val="0"/>
        <c:ser>
          <c:idx val="0"/>
          <c:order val="0"/>
          <c:tx>
            <c:strRef>
              <c:f>'Pivot Chart'!$B$3</c:f>
              <c:strCache>
                <c:ptCount val="1"/>
                <c:pt idx="0">
                  <c:v>Average of Market Cap (bn)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Chart'!$A$4:$A$15</c:f>
              <c:strCache>
                <c:ptCount val="11"/>
                <c:pt idx="0">
                  <c:v>Consumer Discretionary</c:v>
                </c:pt>
                <c:pt idx="1">
                  <c:v>Consumer Staples</c:v>
                </c:pt>
                <c:pt idx="2">
                  <c:v>Energy</c:v>
                </c:pt>
                <c:pt idx="3">
                  <c:v>Financials</c:v>
                </c:pt>
                <c:pt idx="4">
                  <c:v>Health Care</c:v>
                </c:pt>
                <c:pt idx="5">
                  <c:v>Industrials</c:v>
                </c:pt>
                <c:pt idx="6">
                  <c:v>Information Technology</c:v>
                </c:pt>
                <c:pt idx="7">
                  <c:v>Materials</c:v>
                </c:pt>
                <c:pt idx="8">
                  <c:v>Real Estate</c:v>
                </c:pt>
                <c:pt idx="9">
                  <c:v>Telecommunication Services</c:v>
                </c:pt>
                <c:pt idx="10">
                  <c:v>Utilities</c:v>
                </c:pt>
              </c:strCache>
            </c:strRef>
          </c:cat>
          <c:val>
            <c:numRef>
              <c:f>'Pivot Chart'!$B$4:$B$15</c:f>
              <c:numCache>
                <c:formatCode>0.00</c:formatCode>
                <c:ptCount val="11"/>
                <c:pt idx="0">
                  <c:v>38.253571428571441</c:v>
                </c:pt>
                <c:pt idx="1">
                  <c:v>61.382352941176485</c:v>
                </c:pt>
                <c:pt idx="2">
                  <c:v>42.415624999999999</c:v>
                </c:pt>
                <c:pt idx="3">
                  <c:v>50.629411764705893</c:v>
                </c:pt>
                <c:pt idx="4">
                  <c:v>53.186885245901642</c:v>
                </c:pt>
                <c:pt idx="5">
                  <c:v>35.9865671641791</c:v>
                </c:pt>
                <c:pt idx="6">
                  <c:v>96.102857142857175</c:v>
                </c:pt>
                <c:pt idx="7">
                  <c:v>27.696000000000005</c:v>
                </c:pt>
                <c:pt idx="8">
                  <c:v>18.95454545454545</c:v>
                </c:pt>
                <c:pt idx="9">
                  <c:v>151</c:v>
                </c:pt>
                <c:pt idx="10">
                  <c:v>21.839285714285715</c:v>
                </c:pt>
              </c:numCache>
            </c:numRef>
          </c:val>
          <c:extLst>
            <c:ext xmlns:c16="http://schemas.microsoft.com/office/drawing/2014/chart" uri="{C3380CC4-5D6E-409C-BE32-E72D297353CC}">
              <c16:uniqueId val="{00000000-C574-44C8-BED6-2B21526BF48C}"/>
            </c:ext>
          </c:extLst>
        </c:ser>
        <c:dLbls>
          <c:showLegendKey val="0"/>
          <c:showVal val="0"/>
          <c:showCatName val="0"/>
          <c:showSerName val="0"/>
          <c:showPercent val="0"/>
          <c:showBubbleSize val="0"/>
        </c:dLbls>
        <c:gapWidth val="247"/>
        <c:overlap val="-27"/>
        <c:axId val="1480662207"/>
        <c:axId val="1405474767"/>
      </c:barChart>
      <c:lineChart>
        <c:grouping val="standard"/>
        <c:varyColors val="0"/>
        <c:ser>
          <c:idx val="1"/>
          <c:order val="1"/>
          <c:tx>
            <c:strRef>
              <c:f>'Pivot Chart'!$C$3</c:f>
              <c:strCache>
                <c:ptCount val="1"/>
                <c:pt idx="0">
                  <c:v>Count of Symbol  (Companies)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Chart'!$A$4:$A$15</c:f>
              <c:strCache>
                <c:ptCount val="11"/>
                <c:pt idx="0">
                  <c:v>Consumer Discretionary</c:v>
                </c:pt>
                <c:pt idx="1">
                  <c:v>Consumer Staples</c:v>
                </c:pt>
                <c:pt idx="2">
                  <c:v>Energy</c:v>
                </c:pt>
                <c:pt idx="3">
                  <c:v>Financials</c:v>
                </c:pt>
                <c:pt idx="4">
                  <c:v>Health Care</c:v>
                </c:pt>
                <c:pt idx="5">
                  <c:v>Industrials</c:v>
                </c:pt>
                <c:pt idx="6">
                  <c:v>Information Technology</c:v>
                </c:pt>
                <c:pt idx="7">
                  <c:v>Materials</c:v>
                </c:pt>
                <c:pt idx="8">
                  <c:v>Real Estate</c:v>
                </c:pt>
                <c:pt idx="9">
                  <c:v>Telecommunication Services</c:v>
                </c:pt>
                <c:pt idx="10">
                  <c:v>Utilities</c:v>
                </c:pt>
              </c:strCache>
            </c:strRef>
          </c:cat>
          <c:val>
            <c:numRef>
              <c:f>'Pivot Chart'!$C$4:$C$15</c:f>
              <c:numCache>
                <c:formatCode>General</c:formatCode>
                <c:ptCount val="11"/>
                <c:pt idx="0">
                  <c:v>84</c:v>
                </c:pt>
                <c:pt idx="1">
                  <c:v>34</c:v>
                </c:pt>
                <c:pt idx="2">
                  <c:v>32</c:v>
                </c:pt>
                <c:pt idx="3">
                  <c:v>68</c:v>
                </c:pt>
                <c:pt idx="4">
                  <c:v>61</c:v>
                </c:pt>
                <c:pt idx="5">
                  <c:v>67</c:v>
                </c:pt>
                <c:pt idx="6">
                  <c:v>70</c:v>
                </c:pt>
                <c:pt idx="7">
                  <c:v>25</c:v>
                </c:pt>
                <c:pt idx="8">
                  <c:v>33</c:v>
                </c:pt>
                <c:pt idx="9">
                  <c:v>3</c:v>
                </c:pt>
                <c:pt idx="10">
                  <c:v>28</c:v>
                </c:pt>
              </c:numCache>
            </c:numRef>
          </c:val>
          <c:smooth val="0"/>
          <c:extLst>
            <c:ext xmlns:c16="http://schemas.microsoft.com/office/drawing/2014/chart" uri="{C3380CC4-5D6E-409C-BE32-E72D297353CC}">
              <c16:uniqueId val="{00000001-C574-44C8-BED6-2B21526BF48C}"/>
            </c:ext>
          </c:extLst>
        </c:ser>
        <c:dLbls>
          <c:showLegendKey val="0"/>
          <c:showVal val="0"/>
          <c:showCatName val="0"/>
          <c:showSerName val="0"/>
          <c:showPercent val="0"/>
          <c:showBubbleSize val="0"/>
        </c:dLbls>
        <c:marker val="1"/>
        <c:smooth val="0"/>
        <c:axId val="1480726703"/>
        <c:axId val="1405485327"/>
      </c:lineChart>
      <c:catAx>
        <c:axId val="1480662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474767"/>
        <c:crosses val="autoZero"/>
        <c:auto val="1"/>
        <c:lblAlgn val="ctr"/>
        <c:lblOffset val="100"/>
        <c:noMultiLvlLbl val="0"/>
      </c:catAx>
      <c:valAx>
        <c:axId val="1405474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62207"/>
        <c:crosses val="autoZero"/>
        <c:crossBetween val="between"/>
      </c:valAx>
      <c:valAx>
        <c:axId val="140548532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726703"/>
        <c:crosses val="max"/>
        <c:crossBetween val="between"/>
      </c:valAx>
      <c:catAx>
        <c:axId val="1480726703"/>
        <c:scaling>
          <c:orientation val="minMax"/>
        </c:scaling>
        <c:delete val="1"/>
        <c:axPos val="b"/>
        <c:numFmt formatCode="General" sourceLinked="1"/>
        <c:majorTickMark val="none"/>
        <c:minorTickMark val="none"/>
        <c:tickLblPos val="nextTo"/>
        <c:crossAx val="1405485327"/>
        <c:crosses val="autoZero"/>
        <c:auto val="1"/>
        <c:lblAlgn val="ctr"/>
        <c:lblOffset val="100"/>
        <c:noMultiLvlLbl val="0"/>
      </c:catAx>
      <c:spPr>
        <a:noFill/>
        <a:ln>
          <a:noFill/>
        </a:ln>
        <a:effectLst/>
      </c:spPr>
    </c:plotArea>
    <c:legend>
      <c:legendPos val="r"/>
      <c:layout>
        <c:manualLayout>
          <c:xMode val="edge"/>
          <c:yMode val="edge"/>
          <c:x val="0.74837401574803164"/>
          <c:y val="0.33789333624963547"/>
          <c:w val="0.23495931758530184"/>
          <c:h val="0.44458333333333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tx>
        <cx:rich>
          <a:bodyPr spcFirstLastPara="1" vertOverflow="ellipsis" horzOverflow="overflow" wrap="square" lIns="0" tIns="0" rIns="0" bIns="0" anchor="ctr" anchorCtr="1"/>
          <a:lstStyle/>
          <a:p>
            <a:pPr algn="ctr" rtl="0">
              <a:defRPr/>
            </a:pPr>
            <a:r>
              <a:rPr lang="el-GR" sz="1400" b="1" i="0" u="none" strike="noStrike" baseline="0">
                <a:solidFill>
                  <a:sysClr val="windowText" lastClr="000000">
                    <a:lumMod val="65000"/>
                    <a:lumOff val="35000"/>
                  </a:sysClr>
                </a:solidFill>
                <a:latin typeface="Calibri" panose="020F0502020204030204"/>
              </a:rPr>
              <a:t>Συγκέντρωση</a:t>
            </a:r>
            <a:r>
              <a:rPr lang="el-GR" sz="1400" b="0" i="0" u="none" strike="noStrike" baseline="0">
                <a:solidFill>
                  <a:sysClr val="windowText" lastClr="000000">
                    <a:lumMod val="65000"/>
                    <a:lumOff val="35000"/>
                  </a:sysClr>
                </a:solidFill>
                <a:latin typeface="Calibri" panose="020F0502020204030204"/>
              </a:rPr>
              <a:t> </a:t>
            </a:r>
            <a:r>
              <a:rPr lang="el-GR" sz="1400" b="1" i="0" u="none" strike="noStrike" baseline="0">
                <a:solidFill>
                  <a:sysClr val="windowText" lastClr="000000">
                    <a:lumMod val="65000"/>
                    <a:lumOff val="35000"/>
                  </a:sysClr>
                </a:solidFill>
                <a:latin typeface="Calibri" panose="020F0502020204030204"/>
              </a:rPr>
              <a:t>κεφαλαιοποίησης ανά κλάδο (</a:t>
            </a:r>
            <a:r>
              <a:rPr lang="en-US" sz="1400" b="1" i="0" u="none" strike="noStrike" baseline="0">
                <a:solidFill>
                  <a:sysClr val="windowText" lastClr="000000">
                    <a:lumMod val="65000"/>
                    <a:lumOff val="35000"/>
                  </a:sysClr>
                </a:solidFill>
                <a:latin typeface="Calibri" panose="020F0502020204030204"/>
              </a:rPr>
              <a:t>Pareto)</a:t>
            </a:r>
          </a:p>
        </cx:rich>
      </cx:tx>
    </cx:title>
    <cx:plotArea>
      <cx:plotAreaRegion>
        <cx:series layoutId="clusteredColumn" uniqueId="{00000000-3A41-41A9-BB3B-51236A493F91}" formatIdx="0">
          <cx:tx>
            <cx:txData>
              <cx:f>_xlchart.v1.1</cx:f>
              <cx:v>Market Cap (bn)</cx:v>
            </cx:txData>
          </cx:tx>
          <cx:dataId val="0"/>
          <cx:layoutPr>
            <cx:aggregation/>
          </cx:layoutPr>
          <cx:axisId val="1"/>
        </cx:series>
        <cx:series layoutId="paretoLine" ownerIdx="0" uniqueId="{403B91D7-36D4-4622-AC0F-3E5264D1C98A}" formatIdx="1">
          <cx:spPr>
            <a:effectLst>
              <a:glow rad="25400">
                <a:schemeClr val="accent2">
                  <a:satMod val="175000"/>
                  <a:alpha val="40000"/>
                </a:schemeClr>
              </a:glow>
            </a:effectLst>
          </cx:spPr>
          <cx:axisId val="2"/>
        </cx:series>
        <cx:series layoutId="clusteredColumn" hidden="1" uniqueId="{00000001-3A41-41A9-BB3B-51236A493F91}" formatIdx="2">
          <cx:tx>
            <cx:txData>
              <cx:f>_xlchart.v1.3</cx:f>
              <cx:v>Cumulative %</cx:v>
            </cx:txData>
          </cx:tx>
          <cx:dataId val="1"/>
          <cx:layoutPr>
            <cx:aggregation/>
          </cx:layoutPr>
          <cx:axisId val="1"/>
        </cx:series>
        <cx:series layoutId="paretoLine" ownerIdx="2" uniqueId="{6CCFB7FD-BFD8-4554-8B70-50F401CB2B11}" formatIdx="3">
          <cx:axisId val="2"/>
        </cx:series>
      </cx:plotAreaRegion>
      <cx:axis id="0">
        <cx:catScaling gapWidth="0"/>
        <cx:tickLabels/>
      </cx:axis>
      <cx:axis id="1">
        <cx:valScaling/>
        <cx:majorGridlines/>
        <cx:tickLabels/>
      </cx:axis>
      <cx:axis id="2">
        <cx:valScaling max="1" min="0"/>
        <cx:title>
          <cx:tx>
            <cx:rich>
              <a:bodyPr spcFirstLastPara="1" vertOverflow="ellipsis" horzOverflow="overflow" wrap="square" lIns="0" tIns="0" rIns="0" bIns="0" anchor="ctr" anchorCtr="1"/>
              <a:lstStyle/>
              <a:p>
                <a:pPr algn="ctr" rtl="0">
                  <a:defRPr/>
                </a:pPr>
                <a:r>
                  <a:rPr lang="el-GR" sz="900" b="1" i="0" u="none" strike="noStrike" baseline="0">
                    <a:solidFill>
                      <a:sysClr val="windowText" lastClr="000000">
                        <a:lumMod val="65000"/>
                        <a:lumOff val="35000"/>
                      </a:sysClr>
                    </a:solidFill>
                    <a:latin typeface="Calibri" panose="020F0502020204030204"/>
                  </a:rPr>
                  <a:t>Σωρευτικό ποσοστό (%)</a:t>
                </a:r>
                <a:endParaRPr lang="en-US" sz="900" b="1" i="0" u="none" strike="noStrike" baseline="0">
                  <a:solidFill>
                    <a:sysClr val="windowText" lastClr="000000">
                      <a:lumMod val="65000"/>
                      <a:lumOff val="35000"/>
                    </a:sysClr>
                  </a:solidFill>
                  <a:latin typeface="Calibri" panose="020F0502020204030204"/>
                </a:endParaRPr>
              </a:p>
            </cx:rich>
          </cx:tx>
        </cx:title>
        <cx:units unit="percentage"/>
        <cx:tickLabels/>
        <cx:spPr>
          <a:effectLst/>
        </cx:sp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69">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3</xdr:col>
      <xdr:colOff>38100</xdr:colOff>
      <xdr:row>1</xdr:row>
      <xdr:rowOff>152400</xdr:rowOff>
    </xdr:from>
    <xdr:to>
      <xdr:col>4</xdr:col>
      <xdr:colOff>1004887</xdr:colOff>
      <xdr:row>15</xdr:row>
      <xdr:rowOff>142875</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85F6731E-DC62-26FD-98F8-64A8BC816237}"/>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3781425" y="333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102392</xdr:colOff>
      <xdr:row>16</xdr:row>
      <xdr:rowOff>57150</xdr:rowOff>
    </xdr:from>
    <xdr:to>
      <xdr:col>4</xdr:col>
      <xdr:colOff>709611</xdr:colOff>
      <xdr:row>31</xdr:row>
      <xdr:rowOff>85725</xdr:rowOff>
    </xdr:to>
    <xdr:graphicFrame macro="">
      <xdr:nvGraphicFramePr>
        <xdr:cNvPr id="3" name="Συνολική κεφαλαιοποίηση ανά κλάδο (δισ. $)">
          <a:extLst>
            <a:ext uri="{FF2B5EF4-FFF2-40B4-BE49-F238E27FC236}">
              <a16:creationId xmlns:a16="http://schemas.microsoft.com/office/drawing/2014/main" id="{FE6A5BA3-1B7A-EDA5-65FC-1B254FA97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1252537</xdr:colOff>
      <xdr:row>16</xdr:row>
      <xdr:rowOff>19050</xdr:rowOff>
    </xdr:from>
    <xdr:to>
      <xdr:col>7</xdr:col>
      <xdr:colOff>1476375</xdr:colOff>
      <xdr:row>31</xdr:row>
      <xdr:rowOff>47625</xdr:rowOff>
    </xdr:to>
    <xdr:graphicFrame macro="">
      <xdr:nvGraphicFramePr>
        <xdr:cNvPr id="4" name="Μέσος δείκτης P/E και μέση μερισματική απόδοση ανά κλάδο">
          <a:extLst>
            <a:ext uri="{FF2B5EF4-FFF2-40B4-BE49-F238E27FC236}">
              <a16:creationId xmlns:a16="http://schemas.microsoft.com/office/drawing/2014/main" id="{7253B7A1-3615-54B1-B5CB-4781C3142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188118</xdr:colOff>
      <xdr:row>1</xdr:row>
      <xdr:rowOff>14288</xdr:rowOff>
    </xdr:from>
    <xdr:to>
      <xdr:col>10</xdr:col>
      <xdr:colOff>226218</xdr:colOff>
      <xdr:row>15</xdr:row>
      <xdr:rowOff>176213</xdr:rowOff>
    </xdr:to>
    <xdr:graphicFrame macro="">
      <xdr:nvGraphicFramePr>
        <xdr:cNvPr id="2" name="Chart 1">
          <a:extLst>
            <a:ext uri="{FF2B5EF4-FFF2-40B4-BE49-F238E27FC236}">
              <a16:creationId xmlns:a16="http://schemas.microsoft.com/office/drawing/2014/main" id="{9AFBCEB9-22B9-CD0D-B5C5-17B065083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69056</xdr:colOff>
      <xdr:row>0</xdr:row>
      <xdr:rowOff>47624</xdr:rowOff>
    </xdr:from>
    <xdr:to>
      <xdr:col>10</xdr:col>
      <xdr:colOff>381000</xdr:colOff>
      <xdr:row>16</xdr:row>
      <xdr:rowOff>109538</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DB5F51FC-986D-4279-EC86-FA8F4D3B47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17181" y="47624"/>
              <a:ext cx="4845844" cy="29575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ter Pl" refreshedDate="46264.801500694448" createdVersion="8" refreshedVersion="8" minRefreshableVersion="3" recordCount="505" xr:uid="{C9B142D7-40C4-4E01-BCD6-F30039AED0FE}">
  <cacheSource type="worksheet">
    <worksheetSource name="constituents_financials"/>
  </cacheSource>
  <cacheFields count="16">
    <cacheField name="Symbol" numFmtId="0">
      <sharedItems/>
    </cacheField>
    <cacheField name="Name" numFmtId="0">
      <sharedItems/>
    </cacheField>
    <cacheField name="Sector" numFmtId="0">
      <sharedItems count="11">
        <s v="Industrials"/>
        <s v="Health Care"/>
        <s v="Information Technology"/>
        <s v="Consumer Discretionary"/>
        <s v="Utilities"/>
        <s v="Financials"/>
        <s v="Materials"/>
        <s v="Real Estate"/>
        <s v="Consumer Staples"/>
        <s v="Energy"/>
        <s v="Telecommunication Services"/>
      </sharedItems>
    </cacheField>
    <cacheField name="Price" numFmtId="0">
      <sharedItems containsSemiMixedTypes="0" containsString="0" containsNumber="1" minValue="2.82" maxValue="1806.06"/>
    </cacheField>
    <cacheField name="Price/Earnings" numFmtId="0">
      <sharedItems containsString="0" containsBlank="1" containsNumber="1" minValue="-251.53" maxValue="520.15"/>
    </cacheField>
    <cacheField name="Dividend Yield" numFmtId="0">
      <sharedItems containsSemiMixedTypes="0" containsString="0" containsNumber="1" minValue="0" maxValue="12.661196"/>
    </cacheField>
    <cacheField name="Earnings/Share" numFmtId="0">
      <sharedItems containsSemiMixedTypes="0" containsString="0" containsNumber="1" minValue="-28.01" maxValue="44.09"/>
    </cacheField>
    <cacheField name="52 Week High" numFmtId="0">
      <sharedItems containsSemiMixedTypes="0" containsString="0" containsNumber="1" minValue="6.59" maxValue="2067.9899999999998"/>
    </cacheField>
    <cacheField name="52 Week Low" numFmtId="0">
      <sharedItems containsSemiMixedTypes="0" containsString="0" containsNumber="1" minValue="2.8" maxValue="1589"/>
    </cacheField>
    <cacheField name="Market Cap" numFmtId="0">
      <sharedItems containsSemiMixedTypes="0" containsString="0" containsNumber="1" containsInteger="1" minValue="2626102121" maxValue="809508034020"/>
    </cacheField>
    <cacheField name="EBITDA" numFmtId="0">
      <sharedItems containsSemiMixedTypes="0" containsString="0" containsNumber="1" containsInteger="1" minValue="-5067000000" maxValue="79386000000"/>
    </cacheField>
    <cacheField name="Price/Sales" numFmtId="0">
      <sharedItems containsSemiMixedTypes="0" containsString="0" containsNumber="1" minValue="0.15318617000000001" maxValue="20.094294000000001"/>
    </cacheField>
    <cacheField name="Price/Book" numFmtId="0">
      <sharedItems containsString="0" containsBlank="1" containsNumber="1" minValue="0.51" maxValue="1403.38"/>
    </cacheField>
    <cacheField name="SEC Filings" numFmtId="0">
      <sharedItems/>
    </cacheField>
    <cacheField name="Market Cap (bn)" numFmtId="0">
      <sharedItems containsSemiMixedTypes="0" containsString="0" containsNumber="1" minValue="2.6" maxValue="809.5"/>
    </cacheField>
    <cacheField name="EBITDA (bn)" numFmtId="0">
      <sharedItems containsSemiMixedTypes="0" containsString="0" containsNumber="1" minValue="-5.0999999999999996" maxValue="79.400000000000006"/>
    </cacheField>
  </cacheFields>
  <extLst>
    <ext xmlns:x14="http://schemas.microsoft.com/office/spreadsheetml/2009/9/main" uri="{725AE2AE-9491-48be-B2B4-4EB974FC3084}">
      <x14:pivotCacheDefinition pivotCacheId="739801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
  <r>
    <s v="MMM"/>
    <s v="3M Company"/>
    <x v="0"/>
    <n v="222.89"/>
    <n v="24.31"/>
    <n v="2.3328617"/>
    <n v="7.92"/>
    <n v="259.77"/>
    <n v="175.49"/>
    <n v="138721055226"/>
    <n v="9048000000"/>
    <n v="4.3902707000000003"/>
    <n v="11.34"/>
    <s v="http://www.sec.gov/cgi-bin/browse-edgar?action=getcompany&amp;CIK=MMM"/>
    <n v="138.69999999999999"/>
    <n v="9"/>
  </r>
  <r>
    <s v="AOS"/>
    <s v="A.O. Smith Corp"/>
    <x v="0"/>
    <n v="60.24"/>
    <n v="27.76"/>
    <n v="1.1479592000000001"/>
    <n v="1.7"/>
    <n v="68.39"/>
    <n v="48.924999999999997"/>
    <n v="10783419933"/>
    <n v="601000000"/>
    <n v="3.5754826"/>
    <n v="6.35"/>
    <s v="http://www.sec.gov/cgi-bin/browse-edgar?action=getcompany&amp;CIK=AOS"/>
    <n v="10.8"/>
    <n v="0.6"/>
  </r>
  <r>
    <s v="ABT"/>
    <s v="Abbott Laboratories"/>
    <x v="1"/>
    <n v="56.27"/>
    <n v="22.51"/>
    <n v="1.9089824"/>
    <n v="0.26"/>
    <n v="64.599999999999994"/>
    <n v="42.28"/>
    <n v="102121042306"/>
    <n v="5744000000"/>
    <n v="3.7404804"/>
    <n v="3.19"/>
    <s v="http://www.sec.gov/cgi-bin/browse-edgar?action=getcompany&amp;CIK=ABT"/>
    <n v="102.1"/>
    <n v="5.7"/>
  </r>
  <r>
    <s v="ABBV"/>
    <s v="AbbVie Inc."/>
    <x v="1"/>
    <n v="108.48"/>
    <n v="19.41"/>
    <n v="2.4995598999999999"/>
    <n v="3.29"/>
    <n v="125.86"/>
    <n v="60.05"/>
    <n v="181386347059"/>
    <n v="10310000000"/>
    <n v="6.2915710000000002"/>
    <n v="26.14"/>
    <s v="http://www.sec.gov/cgi-bin/browse-edgar?action=getcompany&amp;CIK=ABBV"/>
    <n v="181.4"/>
    <n v="10.3"/>
  </r>
  <r>
    <s v="ACN"/>
    <s v="Accenture plc"/>
    <x v="2"/>
    <n v="150.51"/>
    <n v="25.47"/>
    <n v="1.7144699000000001"/>
    <n v="5.44"/>
    <n v="162.6"/>
    <n v="114.82"/>
    <n v="98765855553"/>
    <n v="5643228000"/>
    <n v="2.604117"/>
    <n v="10.62"/>
    <s v="http://www.sec.gov/cgi-bin/browse-edgar?action=getcompany&amp;CIK=ACN"/>
    <n v="98.8"/>
    <n v="5.6"/>
  </r>
  <r>
    <s v="ATVI"/>
    <s v="Activision Blizzard"/>
    <x v="2"/>
    <n v="65.83"/>
    <n v="31.8"/>
    <n v="0.43190324000000002"/>
    <n v="1.28"/>
    <n v="74.944999999999993"/>
    <n v="38.93"/>
    <n v="52518668144"/>
    <n v="2704000000"/>
    <n v="10.59512"/>
    <n v="5.16"/>
    <s v="http://www.sec.gov/cgi-bin/browse-edgar?action=getcompany&amp;CIK=ATVI"/>
    <n v="52.5"/>
    <n v="2.7"/>
  </r>
  <r>
    <s v="AYI"/>
    <s v="Acuity Brands Inc"/>
    <x v="0"/>
    <n v="145.41"/>
    <n v="18.22"/>
    <n v="0.35118526"/>
    <n v="7.43"/>
    <n v="225.36"/>
    <n v="142"/>
    <n v="6242377704"/>
    <n v="587800000"/>
    <n v="1.7953473"/>
    <n v="3.55"/>
    <s v="http://www.sec.gov/cgi-bin/browse-edgar?action=getcompany&amp;CIK=AYI"/>
    <n v="6.2"/>
    <n v="0.6"/>
  </r>
  <r>
    <s v="ADBE"/>
    <s v="Adobe Systems Inc"/>
    <x v="2"/>
    <n v="185.16"/>
    <n v="52.31"/>
    <n v="0"/>
    <n v="3.39"/>
    <n v="204.45"/>
    <n v="114.45099999999999"/>
    <n v="94550214268"/>
    <n v="2538040000"/>
    <n v="13.092817999999999"/>
    <n v="11.06"/>
    <s v="http://www.sec.gov/cgi-bin/browse-edgar?action=getcompany&amp;CIK=ADBE"/>
    <n v="94.6"/>
    <n v="2.5"/>
  </r>
  <r>
    <s v="AAP"/>
    <s v="Advance Auto Parts"/>
    <x v="3"/>
    <n v="109.63"/>
    <n v="19.54"/>
    <n v="0.21832074000000001"/>
    <n v="6.19"/>
    <n v="169.55"/>
    <n v="78.81"/>
    <n v="8123611867"/>
    <n v="853941000"/>
    <n v="1.1301060999999999"/>
    <n v="2.5099999999999998"/>
    <s v="http://www.sec.gov/cgi-bin/browse-edgar?action=getcompany&amp;CIK=AAP"/>
    <n v="8.1"/>
    <n v="0.9"/>
  </r>
  <r>
    <s v="AMD"/>
    <s v="Advanced Micro Devices Inc"/>
    <x v="2"/>
    <n v="11.22"/>
    <n v="187"/>
    <n v="0"/>
    <n v="0.03"/>
    <n v="15.65"/>
    <n v="9.6999999999999993"/>
    <n v="11191663795"/>
    <n v="339000000"/>
    <n v="2.1091954999999998"/>
    <n v="21.47"/>
    <s v="http://www.sec.gov/cgi-bin/browse-edgar?action=getcompany&amp;CIK=AMD"/>
    <n v="11.2"/>
    <n v="0.3"/>
  </r>
  <r>
    <s v="AES"/>
    <s v="AES Corp"/>
    <x v="4"/>
    <n v="10.06"/>
    <n v="9.9600000000000009"/>
    <n v="4.9618320000000002"/>
    <n v="-1.72"/>
    <n v="12.05"/>
    <n v="10"/>
    <n v="6920851212"/>
    <n v="3001000000"/>
    <n v="0.65951382999999997"/>
    <n v="2.2000000000000002"/>
    <s v="http://www.sec.gov/cgi-bin/browse-edgar?action=getcompany&amp;CIK=AES"/>
    <n v="6.9"/>
    <n v="3"/>
  </r>
  <r>
    <s v="AET"/>
    <s v="Aetna Inc"/>
    <x v="1"/>
    <n v="178"/>
    <n v="18.11"/>
    <n v="1.1019890000000001"/>
    <n v="5.75"/>
    <n v="194.4"/>
    <n v="119.51"/>
    <n v="59197016353"/>
    <n v="4139000000"/>
    <n v="0.99235459999999998"/>
    <n v="3.79"/>
    <s v="http://www.sec.gov/cgi-bin/browse-edgar?action=getcompany&amp;CIK=AET"/>
    <n v="59.2"/>
    <n v="4.0999999999999996"/>
  </r>
  <r>
    <s v="AMG"/>
    <s v="Affiliated Managers Group Inc"/>
    <x v="5"/>
    <n v="179.11"/>
    <n v="12.24"/>
    <n v="0.63873950000000002"/>
    <n v="12.07"/>
    <n v="216.995"/>
    <n v="148.81"/>
    <n v="10442174371"/>
    <n v="1261400000"/>
    <n v="4.5912350000000002"/>
    <n v="2.89"/>
    <s v="http://www.sec.gov/cgi-bin/browse-edgar?action=getcompany&amp;CIK=AMG"/>
    <n v="10.4"/>
    <n v="1.3"/>
  </r>
  <r>
    <s v="AFL"/>
    <s v="AFLAC Inc"/>
    <x v="5"/>
    <n v="83.25"/>
    <n v="12.24"/>
    <n v="2.4299065999999998"/>
    <n v="11.01"/>
    <n v="91.73"/>
    <n v="68.8"/>
    <n v="33422948000"/>
    <n v="0"/>
    <n v="1.5429344"/>
    <n v="1.53"/>
    <s v="http://www.sec.gov/cgi-bin/browse-edgar?action=getcompany&amp;CIK=AFL"/>
    <n v="33.4"/>
    <n v="0"/>
  </r>
  <r>
    <s v="A"/>
    <s v="Agilent Technologies Inc"/>
    <x v="1"/>
    <n v="65.05"/>
    <n v="27.45"/>
    <n v="0.87569790000000003"/>
    <n v="2.1"/>
    <n v="75"/>
    <n v="49.23"/>
    <n v="21984606918"/>
    <n v="1094000000"/>
    <n v="6.493563"/>
    <n v="4.5599999999999996"/>
    <s v="http://www.sec.gov/cgi-bin/browse-edgar?action=getcompany&amp;CIK=A"/>
    <n v="22"/>
    <n v="1.1000000000000001"/>
  </r>
  <r>
    <s v="APD"/>
    <s v="Air Products &amp; Chemicals Inc"/>
    <x v="6"/>
    <n v="152.80000000000001"/>
    <n v="24.22"/>
    <n v="2.7811135999999999"/>
    <n v="13.66"/>
    <n v="175.17"/>
    <n v="133.6301"/>
    <n v="34638387128"/>
    <n v="2542500000"/>
    <n v="4.1163683000000004"/>
    <n v="3.35"/>
    <s v="http://www.sec.gov/cgi-bin/browse-edgar?action=getcompany&amp;CIK=APD"/>
    <n v="34.6"/>
    <n v="2.5"/>
  </r>
  <r>
    <s v="AKAM"/>
    <s v="Akamai Technologies Inc"/>
    <x v="2"/>
    <n v="62.49"/>
    <n v="32.549999999999997"/>
    <n v="0"/>
    <n v="1.79"/>
    <n v="69.56"/>
    <n v="44.65"/>
    <n v="10906904066"/>
    <n v="789517000"/>
    <n v="5.8546524"/>
    <n v="3.25"/>
    <s v="http://www.sec.gov/cgi-bin/browse-edgar?action=getcompany&amp;CIK=AKAM"/>
    <n v="10.9"/>
    <n v="0.8"/>
  </r>
  <r>
    <s v="ALK"/>
    <s v="Alaska Air Group Inc"/>
    <x v="0"/>
    <n v="64.040000000000006"/>
    <n v="9.66"/>
    <n v="1.9928383000000001"/>
    <n v="8.2799999999999994"/>
    <n v="101.43"/>
    <n v="59.25"/>
    <n v="7903173734"/>
    <n v="1665000000"/>
    <n v="0.98010920000000001"/>
    <n v="2.21"/>
    <s v="http://www.sec.gov/cgi-bin/browse-edgar?action=getcompany&amp;CIK=ALK"/>
    <n v="7.9"/>
    <n v="1.7"/>
  </r>
  <r>
    <s v="ALB"/>
    <s v="Albemarle Corp"/>
    <x v="6"/>
    <n v="105.18"/>
    <n v="26.03"/>
    <n v="1.2004125999999999"/>
    <n v="5.66"/>
    <n v="144.99"/>
    <n v="90.35"/>
    <n v="11782151266"/>
    <n v="686030000"/>
    <n v="5.3666204999999998"/>
    <n v="2.98"/>
    <s v="http://www.sec.gov/cgi-bin/browse-edgar?action=getcompany&amp;CIK=ALB"/>
    <n v="11.8"/>
    <n v="0.7"/>
  </r>
  <r>
    <s v="ARE"/>
    <s v="Alexandria Real Estate Equities Inc"/>
    <x v="7"/>
    <n v="114.58"/>
    <n v="19.03"/>
    <n v="3.0262272000000001"/>
    <n v="1.57"/>
    <n v="134.37"/>
    <n v="106.89"/>
    <n v="12043374429"/>
    <n v="0"/>
    <n v="10.492155"/>
    <n v="2.0699999999999998"/>
    <s v="http://www.sec.gov/cgi-bin/browse-edgar?action=getcompany&amp;CIK=ARE"/>
    <n v="12"/>
    <n v="0"/>
  </r>
  <r>
    <s v="ALXN"/>
    <s v="Alexion Pharmaceuticals"/>
    <x v="1"/>
    <n v="108.47"/>
    <n v="22.18"/>
    <n v="0"/>
    <n v="1.77"/>
    <n v="149.34"/>
    <n v="96.18"/>
    <n v="26172439795"/>
    <n v="1072000000"/>
    <n v="9.7205619999999993"/>
    <n v="2.82"/>
    <s v="http://www.sec.gov/cgi-bin/browse-edgar?action=getcompany&amp;CIK=ALXN"/>
    <n v="26.2"/>
    <n v="1.1000000000000001"/>
  </r>
  <r>
    <s v="ALGN"/>
    <s v="Align Technology"/>
    <x v="1"/>
    <n v="220.71"/>
    <n v="56.59"/>
    <n v="0"/>
    <n v="2.84"/>
    <n v="287.32"/>
    <n v="92.61"/>
    <n v="18788041378"/>
    <n v="380326000"/>
    <n v="13.138819"/>
    <n v="16.440000000000001"/>
    <s v="http://www.sec.gov/cgi-bin/browse-edgar?action=getcompany&amp;CIK=ALGN"/>
    <n v="18.8"/>
    <n v="0.4"/>
  </r>
  <r>
    <s v="ALLE"/>
    <s v="Allegion"/>
    <x v="0"/>
    <n v="77.319999999999993"/>
    <n v="21.07"/>
    <n v="0.80040020000000001"/>
    <n v="2.37"/>
    <n v="89.81"/>
    <n v="66.72"/>
    <n v="7599609494"/>
    <n v="531800000"/>
    <n v="4.2652320000000001"/>
    <n v="20.48"/>
    <s v="http://www.sec.gov/cgi-bin/browse-edgar?action=getcompany&amp;CIK=ALLE"/>
    <n v="7.6"/>
    <n v="0.5"/>
  </r>
  <r>
    <s v="AGN"/>
    <s v="Allergan, Plc"/>
    <x v="1"/>
    <n v="164.2"/>
    <n v="10.65"/>
    <n v="1.643289"/>
    <n v="38.35"/>
    <n v="256.8"/>
    <n v="160.07"/>
    <n v="56668833898"/>
    <n v="-2888100000"/>
    <n v="4.8201150000000004"/>
    <n v="0.83"/>
    <s v="http://www.sec.gov/cgi-bin/browse-edgar?action=getcompany&amp;CIK=AGN"/>
    <n v="56.7"/>
    <n v="-2.9"/>
  </r>
  <r>
    <s v="ADS"/>
    <s v="Alliance Data Systems"/>
    <x v="2"/>
    <n v="240.6"/>
    <n v="13.02"/>
    <n v="0.92401219999999995"/>
    <n v="14.13"/>
    <n v="278.33"/>
    <n v="209"/>
    <n v="13632608582"/>
    <n v="2143200000"/>
    <n v="1.7282298"/>
    <n v="8.2799999999999994"/>
    <s v="http://www.sec.gov/cgi-bin/browse-edgar?action=getcompany&amp;CIK=ADS"/>
    <n v="13.6"/>
    <n v="2.1"/>
  </r>
  <r>
    <s v="LNT"/>
    <s v="Alliant Energy Corp"/>
    <x v="4"/>
    <n v="37.14"/>
    <n v="19.86"/>
    <n v="3.5733332999999998"/>
    <n v="1.65"/>
    <n v="45.55"/>
    <n v="36.840000000000003"/>
    <n v="8670163500"/>
    <n v="1168400000"/>
    <n v="3.4331480999999999"/>
    <n v="2.13"/>
    <s v="http://www.sec.gov/cgi-bin/browse-edgar?action=getcompany&amp;CIK=LNT"/>
    <n v="8.6999999999999993"/>
    <n v="1.2"/>
  </r>
  <r>
    <s v="ALL"/>
    <s v="Allstate Corp"/>
    <x v="5"/>
    <n v="90.06"/>
    <n v="13.26"/>
    <n v="1.5278208"/>
    <n v="4.68"/>
    <n v="105.36"/>
    <n v="77.73"/>
    <n v="34759468905"/>
    <n v="0"/>
    <n v="1.2085556"/>
    <n v="1.67"/>
    <s v="http://www.sec.gov/cgi-bin/browse-edgar?action=getcompany&amp;CIK=ALL"/>
    <n v="34.799999999999997"/>
    <n v="0"/>
  </r>
  <r>
    <s v="GOOGL"/>
    <s v="Alphabet Inc Class A"/>
    <x v="2"/>
    <n v="1007.71"/>
    <n v="31.48"/>
    <n v="0"/>
    <n v="22.27"/>
    <n v="1198"/>
    <n v="824.3"/>
    <n v="733823966137"/>
    <n v="34217000000"/>
    <n v="6.8016920000000001"/>
    <n v="4.7"/>
    <s v="http://www.sec.gov/cgi-bin/browse-edgar?action=getcompany&amp;CIK=GOOGL"/>
    <n v="733.8"/>
    <n v="34.200000000000003"/>
  </r>
  <r>
    <s v="GOOG"/>
    <s v="Alphabet Inc Class C"/>
    <x v="2"/>
    <n v="1001.52"/>
    <n v="40.29"/>
    <n v="0"/>
    <n v="22.27"/>
    <n v="1186.8900000000001"/>
    <n v="803.19029999999998"/>
    <n v="728535558140"/>
    <n v="32714000000"/>
    <n v="6.772653"/>
    <n v="4.67"/>
    <s v="http://www.sec.gov/cgi-bin/browse-edgar?action=getcompany&amp;CIK=GOOG"/>
    <n v="728.5"/>
    <n v="32.700000000000003"/>
  </r>
  <r>
    <s v="MO"/>
    <s v="Altria Group Inc"/>
    <x v="8"/>
    <n v="64.05"/>
    <n v="18.89"/>
    <n v="3.9526875000000001"/>
    <n v="5.31"/>
    <n v="77.790000000000006"/>
    <n v="60.01"/>
    <n v="126985101434"/>
    <n v="10773000000"/>
    <n v="4.9456819999999997"/>
    <n v="10.32"/>
    <s v="http://www.sec.gov/cgi-bin/browse-edgar?action=getcompany&amp;CIK=MO"/>
    <n v="127"/>
    <n v="10.8"/>
  </r>
  <r>
    <s v="AMZN"/>
    <s v="Amazon.com Inc"/>
    <x v="3"/>
    <n v="1350.5"/>
    <n v="296.16000000000003"/>
    <n v="0"/>
    <n v="6.16"/>
    <n v="1498"/>
    <n v="812.5"/>
    <n v="685873374731"/>
    <n v="16132000000"/>
    <n v="3.9270529999999999"/>
    <n v="24.28"/>
    <s v="http://www.sec.gov/cgi-bin/browse-edgar?action=getcompany&amp;CIK=AMZN"/>
    <n v="685.9"/>
    <n v="16.100000000000001"/>
  </r>
  <r>
    <s v="AEE"/>
    <s v="Ameren Corp"/>
    <x v="4"/>
    <n v="52.59"/>
    <n v="20.38"/>
    <n v="3.4404963999999998"/>
    <n v="2.68"/>
    <n v="64.89"/>
    <n v="51.81"/>
    <n v="12905744906"/>
    <n v="2298000000"/>
    <n v="2.6931189999999998"/>
    <n v="1.79"/>
    <s v="http://www.sec.gov/cgi-bin/browse-edgar?action=getcompany&amp;CIK=AEE"/>
    <n v="12.9"/>
    <n v="2.2999999999999998"/>
  </r>
  <r>
    <s v="AAL"/>
    <s v="American Airlines Group"/>
    <x v="0"/>
    <n v="48.6"/>
    <n v="9.92"/>
    <n v="0.77821010000000002"/>
    <n v="3.91"/>
    <n v="59.08"/>
    <n v="39.21"/>
    <n v="24594852352"/>
    <n v="5761000000"/>
    <n v="0.58022565000000004"/>
    <n v="6.03"/>
    <s v="http://www.sec.gov/cgi-bin/browse-edgar?action=getcompany&amp;CIK=AAL"/>
    <n v="24.6"/>
    <n v="5.8"/>
  </r>
  <r>
    <s v="AEP"/>
    <s v="American Electric Power"/>
    <x v="4"/>
    <n v="63.38"/>
    <n v="17.32"/>
    <n v="3.8479443"/>
    <n v="1.24"/>
    <n v="78.069999999999993"/>
    <n v="62.69"/>
    <n v="31701916517"/>
    <n v="4450800000"/>
    <n v="2.7489933999999998"/>
    <n v="1.81"/>
    <s v="http://www.sec.gov/cgi-bin/browse-edgar?action=getcompany&amp;CIK=AEP"/>
    <n v="31.7"/>
    <n v="4.5"/>
  </r>
  <r>
    <s v="AXP"/>
    <s v="American Express Co"/>
    <x v="5"/>
    <n v="88.34"/>
    <n v="15"/>
    <n v="1.4955666999999999"/>
    <n v="2.9"/>
    <n v="102.38500000000001"/>
    <n v="75.510000000000005"/>
    <n v="80410990000"/>
    <n v="0"/>
    <n v="2.2735750000000001"/>
    <n v="3.75"/>
    <s v="http://www.sec.gov/cgi-bin/browse-edgar?action=getcompany&amp;CIK=AXP"/>
    <n v="80.400000000000006"/>
    <n v="0"/>
  </r>
  <r>
    <s v="AIG"/>
    <s v="American International Group, Inc."/>
    <x v="5"/>
    <n v="58.28"/>
    <n v="23.22"/>
    <n v="2.1167520999999998"/>
    <n v="-0.76"/>
    <n v="67.3"/>
    <n v="57.85"/>
    <n v="54360073164"/>
    <n v="0"/>
    <n v="1.4686535999999999"/>
    <n v="0.75"/>
    <s v="http://www.sec.gov/cgi-bin/browse-edgar?action=getcompany&amp;CIK=AIG"/>
    <n v="54.4"/>
    <n v="0"/>
  </r>
  <r>
    <s v="AMT"/>
    <s v="American Tower Corp A"/>
    <x v="7"/>
    <n v="133.57"/>
    <n v="20.68"/>
    <n v="2"/>
    <n v="1.97"/>
    <n v="155.28"/>
    <n v="103.36"/>
    <n v="59213892640"/>
    <n v="3792383000"/>
    <n v="11.954136999999999"/>
    <n v="9.2200000000000006"/>
    <s v="http://www.sec.gov/cgi-bin/browse-edgar?action=getcompany&amp;CIK=AMT"/>
    <n v="59.2"/>
    <n v="3.8"/>
  </r>
  <r>
    <s v="AWK"/>
    <s v="American Water Works Company Inc"/>
    <x v="4"/>
    <n v="76.06"/>
    <n v="26.23"/>
    <n v="2.1292970000000002"/>
    <n v="2.63"/>
    <n v="92.37"/>
    <n v="71.89"/>
    <n v="13906146184"/>
    <n v="1711000000"/>
    <n v="5.553833"/>
    <n v="2.5499999999999998"/>
    <s v="http://www.sec.gov/cgi-bin/browse-edgar?action=getcompany&amp;CIK=AWK"/>
    <n v="13.9"/>
    <n v="1.7"/>
  </r>
  <r>
    <s v="AMP"/>
    <s v="Ameriprise Financial"/>
    <x v="5"/>
    <n v="152.5"/>
    <n v="12.41"/>
    <n v="2.0735743000000002"/>
    <n v="9.44"/>
    <n v="183.9"/>
    <n v="118.84"/>
    <n v="23472126000"/>
    <n v="0"/>
    <n v="1.9493247"/>
    <n v="3.73"/>
    <s v="http://www.sec.gov/cgi-bin/browse-edgar?action=getcompany&amp;CIK=AMP"/>
    <n v="23.5"/>
    <n v="0"/>
  </r>
  <r>
    <s v="ABC"/>
    <s v="AmerisourceBergen Corp"/>
    <x v="1"/>
    <n v="91.55"/>
    <n v="15.54"/>
    <n v="1.6132455999999999"/>
    <n v="1.64"/>
    <n v="106.27"/>
    <n v="71.900000000000006"/>
    <n v="20587704101"/>
    <n v="991884000"/>
    <n v="0.17396983999999999"/>
    <n v="9.73"/>
    <s v="http://www.sec.gov/cgi-bin/browse-edgar?action=getcompany&amp;CIK=ABC"/>
    <n v="20.6"/>
    <n v="1"/>
  </r>
  <r>
    <s v="AME"/>
    <s v="AMETEK Inc"/>
    <x v="0"/>
    <n v="72.05"/>
    <n v="27.61"/>
    <n v="0.75512402999999995"/>
    <n v="2.94"/>
    <n v="78.510000000000005"/>
    <n v="51.31"/>
    <n v="17139651923"/>
    <n v="1025763000"/>
    <n v="4.0153679999999996"/>
    <n v="4.54"/>
    <s v="http://www.sec.gov/cgi-bin/browse-edgar?action=getcompany&amp;CIK=AME"/>
    <n v="17.100000000000001"/>
    <n v="1"/>
  </r>
  <r>
    <s v="AMGN"/>
    <s v="Amgen Inc"/>
    <x v="1"/>
    <n v="173.12"/>
    <n v="13.76"/>
    <n v="2.9751508000000002"/>
    <n v="2.57"/>
    <n v="201.23"/>
    <n v="152.16"/>
    <n v="128133340000"/>
    <n v="11945000000"/>
    <n v="5.5819200000000002"/>
    <n v="3.91"/>
    <s v="http://www.sec.gov/cgi-bin/browse-edgar?action=getcompany&amp;CIK=AMGN"/>
    <n v="128.1"/>
    <n v="11.9"/>
  </r>
  <r>
    <s v="APH"/>
    <s v="Amphenol Corp"/>
    <x v="2"/>
    <n v="84.44"/>
    <n v="25.9"/>
    <n v="0.86089709999999997"/>
    <n v="2.0499999999999998"/>
    <n v="93.62"/>
    <n v="67.260000000000005"/>
    <n v="26955335395"/>
    <n v="1671700000"/>
    <n v="3.8567499999999999"/>
    <n v="6.64"/>
    <s v="http://www.sec.gov/cgi-bin/browse-edgar?action=getcompany&amp;CIK=APH"/>
    <n v="27"/>
    <n v="1.7"/>
  </r>
  <r>
    <s v="APC"/>
    <s v="Anadarko Petroleum Corp"/>
    <x v="9"/>
    <n v="56.2"/>
    <n v="-21.29"/>
    <n v="1.7029973"/>
    <n v="-5.9"/>
    <n v="70"/>
    <n v="39.96"/>
    <n v="32129091747"/>
    <n v="3115000000"/>
    <n v="3.9682211999999999"/>
    <n v="2.88"/>
    <s v="http://www.sec.gov/cgi-bin/browse-edgar?action=getcompany&amp;CIK=APC"/>
    <n v="32.1"/>
    <n v="3.1"/>
  </r>
  <r>
    <s v="ADI"/>
    <s v="Analog Devices, Inc."/>
    <x v="2"/>
    <n v="82.68"/>
    <n v="17.670000000000002"/>
    <n v="2.1089630000000001"/>
    <n v="2.11"/>
    <n v="98.38"/>
    <n v="74.650000000000006"/>
    <n v="31811578855"/>
    <n v="1663384000"/>
    <n v="8.0039099999999994"/>
    <n v="3.13"/>
    <s v="http://www.sec.gov/cgi-bin/browse-edgar?action=getcompany&amp;CIK=ADI"/>
    <n v="31.8"/>
    <n v="1.7"/>
  </r>
  <r>
    <s v="ANDV"/>
    <s v="Andeavor"/>
    <x v="9"/>
    <n v="96.9"/>
    <n v="18.78"/>
    <n v="2.3454583000000002"/>
    <n v="6.13"/>
    <n v="121.71"/>
    <n v="75.11"/>
    <n v="15696449735"/>
    <n v="2548000000"/>
    <n v="0.66181650000000003"/>
    <n v="1.7"/>
    <s v="http://www.sec.gov/cgi-bin/browse-edgar?action=getcompany&amp;CIK=ANDV"/>
    <n v="15.7"/>
    <n v="2.5"/>
  </r>
  <r>
    <s v="ANSS"/>
    <s v="ANSYS"/>
    <x v="2"/>
    <n v="148.84"/>
    <n v="42.53"/>
    <n v="0"/>
    <n v="2.99"/>
    <n v="164.9"/>
    <n v="94.52"/>
    <n v="13155919129"/>
    <n v="458515000"/>
    <n v="16.813400000000001"/>
    <n v="5.79"/>
    <s v="http://www.sec.gov/cgi-bin/browse-edgar?action=getcompany&amp;CIK=ANSS"/>
    <n v="13.2"/>
    <n v="0.5"/>
  </r>
  <r>
    <s v="ANTM"/>
    <s v="Anthem Inc."/>
    <x v="1"/>
    <n v="230.57"/>
    <n v="19.23"/>
    <n v="1.2581781000000001"/>
    <n v="14.36"/>
    <n v="267.95"/>
    <n v="156.81"/>
    <n v="61221978627"/>
    <n v="0"/>
    <n v="0.66965209999999997"/>
    <n v="2.2799999999999998"/>
    <s v="http://www.sec.gov/cgi-bin/browse-edgar?action=getcompany&amp;CIK=ANTM"/>
    <n v="61.2"/>
    <n v="0"/>
  </r>
  <r>
    <s v="AON"/>
    <s v="Aon plc"/>
    <x v="5"/>
    <n v="136.05000000000001"/>
    <n v="20.8"/>
    <n v="1.0245464"/>
    <n v="4.66"/>
    <n v="152.78"/>
    <n v="113.2201"/>
    <n v="35123123422"/>
    <n v="1858000000"/>
    <n v="3.4972682000000002"/>
    <n v="6.78"/>
    <s v="http://www.sec.gov/cgi-bin/browse-edgar?action=getcompany&amp;CIK=AON"/>
    <n v="35.1"/>
    <n v="1.9"/>
  </r>
  <r>
    <s v="APA"/>
    <s v="Apache Corporation"/>
    <x v="9"/>
    <n v="37.729999999999997"/>
    <n v="-251.53"/>
    <n v="2.5284450000000001"/>
    <n v="-3.72"/>
    <n v="57.9"/>
    <n v="38.14"/>
    <n v="15066280977"/>
    <n v="3265000000"/>
    <n v="3.6513659999999999"/>
    <n v="2.2200000000000002"/>
    <s v="http://www.sec.gov/cgi-bin/browse-edgar?action=getcompany&amp;CIK=APA"/>
    <n v="15.1"/>
    <n v="3.3"/>
  </r>
  <r>
    <s v="AIV"/>
    <s v="Apartment Investment &amp; Management"/>
    <x v="7"/>
    <n v="38.21"/>
    <n v="15.6"/>
    <n v="3.8765619999999998"/>
    <n v="1.95"/>
    <n v="46.854999999999997"/>
    <n v="38.85"/>
    <n v="6156884142"/>
    <n v="874871000"/>
    <n v="6.187621"/>
    <n v="4.6900000000000004"/>
    <s v="http://www.sec.gov/cgi-bin/browse-edgar?action=getcompany&amp;CIK=AIV"/>
    <n v="6.2"/>
    <n v="0.9"/>
  </r>
  <r>
    <s v="AAPL"/>
    <s v="Apple Inc."/>
    <x v="2"/>
    <n v="155.15"/>
    <n v="16.86"/>
    <n v="1.5795412"/>
    <n v="9.1999999999999993"/>
    <n v="180.1"/>
    <n v="131.12"/>
    <n v="809508034020"/>
    <n v="79386000000"/>
    <n v="3.4586093"/>
    <n v="5.66"/>
    <s v="http://www.sec.gov/cgi-bin/browse-edgar?action=getcompany&amp;CIK=AAPL"/>
    <n v="809.5"/>
    <n v="79.400000000000006"/>
  </r>
  <r>
    <s v="AMAT"/>
    <s v="Applied Materials Inc"/>
    <x v="2"/>
    <n v="45.75"/>
    <n v="14.08"/>
    <n v="0.82152389999999997"/>
    <n v="3.17"/>
    <n v="60.89"/>
    <n v="34.58"/>
    <n v="51296481503"/>
    <n v="4336000000"/>
    <n v="4.7020153999999996"/>
    <n v="5.44"/>
    <s v="http://www.sec.gov/cgi-bin/browse-edgar?action=getcompany&amp;CIK=AMAT"/>
    <n v="51.3"/>
    <n v="4.3"/>
  </r>
  <r>
    <s v="APTV"/>
    <s v="Aptiv Plc"/>
    <x v="3"/>
    <n v="89.27"/>
    <n v="69.739999999999995"/>
    <n v="0.93926779999999999"/>
    <n v="5.05"/>
    <n v="96.91"/>
    <n v="82.97"/>
    <n v="24906530300"/>
    <n v="2370000000"/>
    <n v="1.5025797999999999"/>
    <n v="7.56"/>
    <s v="http://www.sec.gov/cgi-bin/browse-edgar?action=getcompany&amp;CIK=APTV"/>
    <n v="24.9"/>
    <n v="2.4"/>
  </r>
  <r>
    <s v="ADM"/>
    <s v="Archer-Daniels-Midland Co"/>
    <x v="8"/>
    <n v="41.35"/>
    <n v="17.45"/>
    <n v="3.1761081"/>
    <n v="2.17"/>
    <n v="47.44"/>
    <n v="38.590000000000003"/>
    <n v="23594770663"/>
    <n v="2927000000"/>
    <n v="0.52478915000000004"/>
    <n v="1.29"/>
    <s v="http://www.sec.gov/cgi-bin/browse-edgar?action=getcompany&amp;CIK=ADM"/>
    <n v="23.6"/>
    <n v="2.9"/>
  </r>
  <r>
    <s v="ARNC"/>
    <s v="Arconic Inc"/>
    <x v="0"/>
    <n v="24.45"/>
    <n v="20.21"/>
    <n v="0.95617529999999995"/>
    <n v="-0.21"/>
    <n v="31.17"/>
    <n v="21.754999999999999"/>
    <n v="12123300000"/>
    <n v="1517000000"/>
    <n v="0.94214814999999996"/>
    <m/>
    <s v="http://www.sec.gov/cgi-bin/browse-edgar?action=getcompany&amp;CIK=ARNC"/>
    <n v="12.1"/>
    <n v="1.5"/>
  </r>
  <r>
    <s v="AJG"/>
    <s v="Arthur J. Gallagher &amp; Co."/>
    <x v="5"/>
    <n v="64.400000000000006"/>
    <n v="21.05"/>
    <n v="2.4807138000000002"/>
    <n v="2.54"/>
    <n v="70.55"/>
    <n v="53.63"/>
    <n v="11968488290"/>
    <n v="888000000"/>
    <n v="1.9400215000000001"/>
    <n v="2.92"/>
    <s v="http://www.sec.gov/cgi-bin/browse-edgar?action=getcompany&amp;CIK=AJG"/>
    <n v="12"/>
    <n v="0.9"/>
  </r>
  <r>
    <s v="AIZ"/>
    <s v="Assurant Inc"/>
    <x v="5"/>
    <n v="85.16"/>
    <n v="33.270000000000003"/>
    <n v="2.5313593999999999"/>
    <n v="9.08"/>
    <n v="106.985"/>
    <n v="85.91"/>
    <n v="4653993594"/>
    <n v="0"/>
    <n v="0.98218660000000002"/>
    <n v="1.1200000000000001"/>
    <s v="http://www.sec.gov/cgi-bin/browse-edgar?action=getcompany&amp;CIK=AIZ"/>
    <n v="4.7"/>
    <n v="0"/>
  </r>
  <r>
    <s v="T"/>
    <s v="AT&amp;T Inc"/>
    <x v="10"/>
    <n v="35.57"/>
    <n v="12.14"/>
    <n v="5.4156513000000004"/>
    <n v="4.76"/>
    <n v="42.7"/>
    <n v="32.549999999999997"/>
    <n v="226713270000"/>
    <n v="49653000000"/>
    <n v="1.4083152000000001"/>
    <n v="1.8"/>
    <s v="http://www.sec.gov/cgi-bin/browse-edgar?action=getcompany&amp;CIK=T"/>
    <n v="226.7"/>
    <n v="49.7"/>
  </r>
  <r>
    <s v="ADSK"/>
    <s v="Autodesk Inc"/>
    <x v="2"/>
    <n v="104.81"/>
    <n v="-77.069999999999993"/>
    <n v="0"/>
    <n v="-2.61"/>
    <n v="131.1"/>
    <n v="81.75"/>
    <n v="24348294504"/>
    <n v="-378100000"/>
    <n v="16.506820000000001"/>
    <n v="224.13"/>
    <s v="http://www.sec.gov/cgi-bin/browse-edgar?action=getcompany&amp;CIK=ADSK"/>
    <n v="24.3"/>
    <n v="-0.4"/>
  </r>
  <r>
    <s v="ADP"/>
    <s v="Automatic Data Processing"/>
    <x v="2"/>
    <n v="108.25"/>
    <n v="29.34"/>
    <n v="2.2190911999999998"/>
    <n v="3.85"/>
    <n v="125.24"/>
    <n v="95.5"/>
    <n v="50337702249"/>
    <n v="2767400000"/>
    <n v="4.0483294000000001"/>
    <n v="12.86"/>
    <s v="http://www.sec.gov/cgi-bin/browse-edgar?action=getcompany&amp;CIK=ADP"/>
    <n v="50.3"/>
    <n v="2.8"/>
  </r>
  <r>
    <s v="AZO"/>
    <s v="AutoZone Inc"/>
    <x v="3"/>
    <n v="718.57"/>
    <n v="16.309999999999999"/>
    <n v="0"/>
    <n v="44.09"/>
    <n v="797.89"/>
    <n v="491.13"/>
    <n v="19922021415"/>
    <n v="2347304000"/>
    <n v="1.8510428999999999"/>
    <n v="136.22999999999999"/>
    <s v="http://www.sec.gov/cgi-bin/browse-edgar?action=getcompany&amp;CIK=AZO"/>
    <n v="19.899999999999999"/>
    <n v="2.2999999999999998"/>
  </r>
  <r>
    <s v="AVB"/>
    <s v="AvalonBay Communities, Inc."/>
    <x v="7"/>
    <n v="154.94"/>
    <n v="17.97"/>
    <n v="3.7149355000000002"/>
    <n v="6.36"/>
    <n v="199.52"/>
    <n v="156.01"/>
    <n v="21856547430"/>
    <n v="1331579000"/>
    <n v="10.251215999999999"/>
    <n v="2.12"/>
    <s v="http://www.sec.gov/cgi-bin/browse-edgar?action=getcompany&amp;CIK=AVB"/>
    <n v="21.9"/>
    <n v="1.3"/>
  </r>
  <r>
    <s v="AVY"/>
    <s v="Avery Dennison Corp"/>
    <x v="6"/>
    <n v="110.77"/>
    <n v="22.11"/>
    <n v="1.5682175"/>
    <n v="3.11"/>
    <n v="123.67"/>
    <n v="78.471000000000004"/>
    <n v="10104814319"/>
    <n v="831200000"/>
    <n v="1.5206499"/>
    <n v="8.83"/>
    <s v="http://www.sec.gov/cgi-bin/browse-edgar?action=getcompany&amp;CIK=AVY"/>
    <n v="10.1"/>
    <n v="0.8"/>
  </r>
  <r>
    <s v="BHGE"/>
    <s v="Baker Hughes, a GE Company"/>
    <x v="9"/>
    <n v="27.5"/>
    <n v="305.56"/>
    <n v="2.4991322"/>
    <n v="-0.31"/>
    <n v="57.73"/>
    <n v="28.03"/>
    <n v="32995712852"/>
    <n v="285000000"/>
    <n v="1.9390045"/>
    <n v="2.25"/>
    <s v="http://www.sec.gov/cgi-bin/browse-edgar?action=getcompany&amp;CIK=BHGE"/>
    <n v="33"/>
    <n v="0.3"/>
  </r>
  <r>
    <s v="BLL"/>
    <s v="Ball Corp"/>
    <x v="6"/>
    <n v="38.44"/>
    <n v="20.56"/>
    <n v="1.0170353999999999"/>
    <n v="0.85"/>
    <n v="43.24"/>
    <n v="35.6"/>
    <n v="13767688518"/>
    <n v="1317000000"/>
    <n v="1.5696399000000001"/>
    <n v="3.62"/>
    <s v="http://www.sec.gov/cgi-bin/browse-edgar?action=getcompany&amp;CIK=BLL"/>
    <n v="13.8"/>
    <n v="1.3"/>
  </r>
  <r>
    <s v="BAC"/>
    <s v="Bank of America Corp"/>
    <x v="5"/>
    <n v="29.74"/>
    <n v="16.34"/>
    <n v="1.536"/>
    <n v="1.55"/>
    <n v="32.67"/>
    <n v="22.07"/>
    <n v="321478200969"/>
    <n v="0"/>
    <n v="3.2011873999999998"/>
    <n v="1.24"/>
    <s v="http://www.sec.gov/cgi-bin/browse-edgar?action=getcompany&amp;CIK=BAC"/>
    <n v="321.5"/>
    <n v="0"/>
  </r>
  <r>
    <s v="BAX"/>
    <s v="Baxter International Inc."/>
    <x v="1"/>
    <n v="62.56"/>
    <n v="25.12"/>
    <n v="0.97635393999999998"/>
    <n v="1.29"/>
    <n v="72.58"/>
    <n v="48.15"/>
    <n v="35713732553"/>
    <n v="1832000000"/>
    <n v="3.4394414000000002"/>
    <n v="3.77"/>
    <s v="http://www.sec.gov/cgi-bin/browse-edgar?action=getcompany&amp;CIK=BAX"/>
    <n v="35.700000000000003"/>
    <n v="1.8"/>
  </r>
  <r>
    <s v="BBT"/>
    <s v="BB&amp;T Corporation"/>
    <x v="5"/>
    <n v="51.07"/>
    <n v="16.260000000000002"/>
    <n v="2.4526197999999999"/>
    <n v="2.74"/>
    <n v="55.99"/>
    <n v="41.17"/>
    <n v="42087562920"/>
    <n v="0"/>
    <n v="3.4552106999999999"/>
    <n v="1.55"/>
    <s v="http://www.sec.gov/cgi-bin/browse-edgar?action=getcompany&amp;CIK=BBT"/>
    <n v="42.1"/>
    <n v="0"/>
  </r>
  <r>
    <s v="BDX"/>
    <s v="Becton Dickinson"/>
    <x v="1"/>
    <n v="211.44"/>
    <n v="22.28"/>
    <n v="1.3518384999999999"/>
    <n v="4.6500000000000004"/>
    <n v="248.3888"/>
    <n v="175.66"/>
    <n v="50910180308"/>
    <n v="1537000000"/>
    <n v="5.6912947000000003"/>
    <n v="3.98"/>
    <s v="http://www.sec.gov/cgi-bin/browse-edgar?action=getcompany&amp;CIK=BDX"/>
    <n v="50.9"/>
    <n v="1.5"/>
  </r>
  <r>
    <s v="BRK.B"/>
    <s v="Berkshire Hathaway"/>
    <x v="5"/>
    <n v="191.42"/>
    <n v="30.43"/>
    <n v="0"/>
    <n v="9.76"/>
    <n v="217.62"/>
    <n v="160.93"/>
    <n v="261401203633"/>
    <n v="0"/>
    <n v="1.4328232000000001"/>
    <n v="1.58"/>
    <s v="http://www.sec.gov/cgi-bin/browse-edgar?action=getcompany&amp;CIK=BRK.B"/>
    <n v="261.39999999999998"/>
    <n v="0"/>
  </r>
  <r>
    <s v="BBY"/>
    <s v="Best Buy Co. Inc."/>
    <x v="3"/>
    <n v="68.790000000000006"/>
    <n v="19.22"/>
    <n v="1.9085041"/>
    <n v="3.81"/>
    <n v="78.59"/>
    <n v="41.67"/>
    <n v="20831186176"/>
    <n v="2555000000"/>
    <n v="0.76715522999999997"/>
    <n v="4.79"/>
    <s v="http://www.sec.gov/cgi-bin/browse-edgar?action=getcompany&amp;CIK=BBY"/>
    <n v="20.8"/>
    <n v="2.6"/>
  </r>
  <r>
    <s v="BIIB"/>
    <s v="Biogen Inc."/>
    <x v="1"/>
    <n v="311.79000000000002"/>
    <n v="14.3"/>
    <n v="0"/>
    <n v="11.94"/>
    <n v="370.57"/>
    <n v="244.28"/>
    <n v="69157726427"/>
    <n v="6511400000"/>
    <n v="5.7374390000000002"/>
    <n v="5.51"/>
    <s v="http://www.sec.gov/cgi-bin/browse-edgar?action=getcompany&amp;CIK=BIIB"/>
    <n v="69.2"/>
    <n v="6.5"/>
  </r>
  <r>
    <s v="BLK"/>
    <s v="BlackRock"/>
    <x v="5"/>
    <n v="509.38"/>
    <n v="22.49"/>
    <n v="2.1643558000000001"/>
    <n v="30.3"/>
    <n v="594.52"/>
    <n v="368"/>
    <n v="85907759858"/>
    <n v="5684000000"/>
    <n v="6.9158195999999998"/>
    <n v="2.95"/>
    <s v="http://www.sec.gov/cgi-bin/browse-edgar?action=getcompany&amp;CIK=BLK"/>
    <n v="85.9"/>
    <n v="5.7"/>
  </r>
  <r>
    <s v="HRB"/>
    <s v="Block H&amp;R"/>
    <x v="5"/>
    <n v="25.19"/>
    <n v="12.29"/>
    <n v="3.7296038"/>
    <n v="1.92"/>
    <n v="31.8"/>
    <n v="19.850000000000001"/>
    <n v="5381433872"/>
    <n v="894754000"/>
    <n v="2.0188456000000001"/>
    <n v="205.41"/>
    <s v="http://www.sec.gov/cgi-bin/browse-edgar?action=getcompany&amp;CIK=HRB"/>
    <n v="5.4"/>
    <n v="0.9"/>
  </r>
  <r>
    <s v="BA"/>
    <s v="Boeing Company"/>
    <x v="0"/>
    <n v="329.66"/>
    <n v="27.29"/>
    <n v="1.9648397"/>
    <n v="13.47"/>
    <n v="361.45"/>
    <n v="163.69"/>
    <n v="205617405233"/>
    <n v="12476000000"/>
    <n v="2.1560605000000002"/>
    <n v="182.86"/>
    <s v="http://www.sec.gov/cgi-bin/browse-edgar?action=getcompany&amp;CIK=BA"/>
    <n v="205.6"/>
    <n v="12.5"/>
  </r>
  <r>
    <s v="BWA"/>
    <s v="BorgWarner"/>
    <x v="3"/>
    <n v="51.94"/>
    <n v="14.15"/>
    <n v="1.2363636"/>
    <n v="0.55000000000000004"/>
    <n v="58.22"/>
    <n v="37.54"/>
    <n v="11596117445"/>
    <n v="867900000"/>
    <n v="1.5831375999999999"/>
    <n v="2.89"/>
    <s v="http://www.sec.gov/cgi-bin/browse-edgar?action=getcompany&amp;CIK=BWA"/>
    <n v="11.6"/>
    <n v="0.9"/>
  </r>
  <r>
    <s v="BXP"/>
    <s v="Boston Properties"/>
    <x v="7"/>
    <n v="112.09"/>
    <n v="18.05"/>
    <n v="2.7744062"/>
    <n v="2.93"/>
    <n v="140.13"/>
    <n v="111.87"/>
    <n v="17799878487"/>
    <n v="1546846000"/>
    <n v="6.8394589999999997"/>
    <n v="3.15"/>
    <s v="http://www.sec.gov/cgi-bin/browse-edgar?action=getcompany&amp;CIK=BXP"/>
    <n v="17.8"/>
    <n v="1.5"/>
  </r>
  <r>
    <s v="BSX"/>
    <s v="Boston Scientific"/>
    <x v="1"/>
    <n v="25.2"/>
    <n v="20"/>
    <n v="0"/>
    <n v="7.0000000000000007E-2"/>
    <n v="29.93"/>
    <n v="23.29"/>
    <n v="36142506007"/>
    <n v="1726000000"/>
    <n v="4.0556850000000004"/>
    <n v="4.78"/>
    <s v="http://www.sec.gov/cgi-bin/browse-edgar?action=getcompany&amp;CIK=BSX"/>
    <n v="36.1"/>
    <n v="1.7"/>
  </r>
  <r>
    <s v="BHF"/>
    <s v="Brighthouse Financial Inc"/>
    <x v="5"/>
    <n v="55.44"/>
    <n v="22.63"/>
    <n v="0"/>
    <n v="-24.62"/>
    <n v="75"/>
    <n v="52.750999999999998"/>
    <n v="7066613254"/>
    <n v="0"/>
    <n v="1.4188358000000001"/>
    <n v="0.51"/>
    <s v="http://www.sec.gov/cgi-bin/browse-edgar?action=getcompany&amp;CIK=BHF"/>
    <n v="7.1"/>
    <n v="0"/>
  </r>
  <r>
    <s v="BMY"/>
    <s v="Bristol-Myers Squibb"/>
    <x v="1"/>
    <n v="62.69"/>
    <n v="20.83"/>
    <n v="2.5546863000000002"/>
    <n v="2.65"/>
    <n v="66.099999999999994"/>
    <n v="51.12"/>
    <n v="102506501960"/>
    <n v="5170000000"/>
    <n v="6.5032310000000004"/>
    <n v="6.75"/>
    <s v="http://www.sec.gov/cgi-bin/browse-edgar?action=getcompany&amp;CIK=BMY"/>
    <n v="102.5"/>
    <n v="5.2"/>
  </r>
  <r>
    <s v="AVGO"/>
    <s v="Broadcom"/>
    <x v="2"/>
    <n v="229.57"/>
    <n v="15.94"/>
    <n v="2.9488582999999999"/>
    <n v="4.01"/>
    <n v="285.68"/>
    <n v="202.61"/>
    <n v="92791974933"/>
    <n v="7016000000"/>
    <n v="6.9618929999999999"/>
    <n v="4.4000000000000004"/>
    <s v="http://www.sec.gov/cgi-bin/browse-edgar?action=getcompany&amp;CIK=AVGO"/>
    <n v="92.8"/>
    <n v="7"/>
  </r>
  <r>
    <s v="BF.B"/>
    <s v="Brown-Forman Corp."/>
    <x v="8"/>
    <n v="63.33"/>
    <n v="37.04"/>
    <n v="1.1216964"/>
    <n v="1.7"/>
    <n v="69.902799999999999"/>
    <n v="45.414999999999999"/>
    <n v="5498033502"/>
    <n v="1139000000"/>
    <n v="1.8411398000000001"/>
    <n v="12.36"/>
    <s v="http://www.sec.gov/cgi-bin/browse-edgar?action=getcompany&amp;CIK=BF.B"/>
    <n v="5.5"/>
    <n v="1.1000000000000001"/>
  </r>
  <r>
    <s v="CHRW"/>
    <s v="C. H. Robinson Worldwide"/>
    <x v="0"/>
    <n v="90.47"/>
    <n v="26"/>
    <n v="1.9876849999999999"/>
    <n v="3.57"/>
    <n v="100.18"/>
    <n v="63.41"/>
    <n v="12932483889"/>
    <n v="868096000"/>
    <n v="0.85282736999999997"/>
    <n v="9.31"/>
    <s v="http://www.sec.gov/cgi-bin/browse-edgar?action=getcompany&amp;CIK=CHRW"/>
    <n v="12.9"/>
    <n v="0.9"/>
  </r>
  <r>
    <s v="CA"/>
    <s v="CA, Inc."/>
    <x v="2"/>
    <n v="32.659999999999997"/>
    <n v="14.32"/>
    <n v="3"/>
    <n v="1.85"/>
    <n v="36.56"/>
    <n v="30.45"/>
    <n v="14175422936"/>
    <n v="1613000000"/>
    <n v="3.3742424999999998"/>
    <n v="2.44"/>
    <s v="http://www.sec.gov/cgi-bin/browse-edgar?action=getcompany&amp;CIK=CA"/>
    <n v="14.2"/>
    <n v="1.6"/>
  </r>
  <r>
    <s v="COG"/>
    <s v="Cabot Oil &amp; Gas"/>
    <x v="9"/>
    <n v="23.01"/>
    <n v="60.55"/>
    <n v="1.0269576"/>
    <n v="-0.92"/>
    <n v="29.57"/>
    <n v="21.4"/>
    <n v="10808821635"/>
    <n v="404951000"/>
    <n v="8.6367290000000008"/>
    <n v="4.21"/>
    <s v="http://www.sec.gov/cgi-bin/browse-edgar?action=getcompany&amp;CIK=COG"/>
    <n v="10.8"/>
    <n v="0.4"/>
  </r>
  <r>
    <s v="CDNS"/>
    <s v="Cadence Design Systems"/>
    <x v="2"/>
    <n v="36.82"/>
    <n v="34.090000000000003"/>
    <n v="0"/>
    <n v="0.74"/>
    <n v="46"/>
    <n v="29.01"/>
    <n v="10890625200"/>
    <n v="455607000"/>
    <n v="5.7517370000000003"/>
    <n v="10.98"/>
    <s v="http://www.sec.gov/cgi-bin/browse-edgar?action=getcompany&amp;CIK=CDNS"/>
    <n v="10.9"/>
    <n v="0.5"/>
  </r>
  <r>
    <s v="CPB"/>
    <s v="Campbell Soup"/>
    <x v="8"/>
    <n v="44.83"/>
    <n v="14.84"/>
    <n v="3.125"/>
    <n v="2.89"/>
    <n v="64.23"/>
    <n v="43.5"/>
    <n v="13467193376"/>
    <n v="1683000000"/>
    <n v="2.3898202999999998"/>
    <n v="7.91"/>
    <s v="http://www.sec.gov/cgi-bin/browse-edgar?action=getcompany&amp;CIK=CPB"/>
    <n v="13.5"/>
    <n v="1.7"/>
  </r>
  <r>
    <s v="COF"/>
    <s v="Capital One Financial"/>
    <x v="5"/>
    <n v="91.8"/>
    <n v="11.85"/>
    <n v="1.6306563999999999"/>
    <n v="3.45"/>
    <n v="106.5"/>
    <n v="76.05"/>
    <n v="47637260000"/>
    <n v="0"/>
    <n v="1.5931405000000001"/>
    <n v="0.94"/>
    <s v="http://www.sec.gov/cgi-bin/browse-edgar?action=getcompany&amp;CIK=COF"/>
    <n v="47.6"/>
    <n v="0"/>
  </r>
  <r>
    <s v="CAH"/>
    <s v="Cardinal Health Inc."/>
    <x v="1"/>
    <n v="66.63"/>
    <n v="12.29"/>
    <n v="2.8394227000000001"/>
    <n v="4.04"/>
    <n v="84.88"/>
    <n v="54.66"/>
    <n v="20493281175"/>
    <n v="1913000000"/>
    <n v="0.21131156000000001"/>
    <n v="3.03"/>
    <s v="http://www.sec.gov/cgi-bin/browse-edgar?action=getcompany&amp;CIK=CAH"/>
    <n v="20.5"/>
    <n v="1.9"/>
  </r>
  <r>
    <s v="KMX"/>
    <s v="Carmax Inc"/>
    <x v="3"/>
    <n v="64.34"/>
    <n v="19.440000000000001"/>
    <n v="0"/>
    <n v="3.97"/>
    <n v="77.64"/>
    <n v="54.29"/>
    <n v="11827453706"/>
    <n v="1339628000"/>
    <n v="0.6913859"/>
    <n v="3.55"/>
    <s v="http://www.sec.gov/cgi-bin/browse-edgar?action=getcompany&amp;CIK=KMX"/>
    <n v="11.8"/>
    <n v="1.3"/>
  </r>
  <r>
    <s v="CCL"/>
    <s v="Carnival Corp."/>
    <x v="3"/>
    <n v="66.760000000000005"/>
    <n v="17.48"/>
    <n v="2.6041666999999999"/>
    <n v="3.58"/>
    <n v="72.7"/>
    <n v="54.75"/>
    <n v="49180044050"/>
    <n v="4711000000"/>
    <n v="2.8147783"/>
    <n v="2"/>
    <s v="http://www.sec.gov/cgi-bin/browse-edgar?action=getcompany&amp;CIK=CCL"/>
    <n v="49.2"/>
    <n v="4.7"/>
  </r>
  <r>
    <s v="CAT"/>
    <s v="Caterpillar Inc."/>
    <x v="0"/>
    <n v="145.99"/>
    <n v="21.22"/>
    <n v="2.0215108000000002"/>
    <n v="1.26"/>
    <n v="173.24"/>
    <n v="90.34"/>
    <n v="91822049046"/>
    <n v="8136000000"/>
    <n v="2.0468427999999999"/>
    <n v="5.75"/>
    <s v="http://www.sec.gov/cgi-bin/browse-edgar?action=getcompany&amp;CIK=CAT"/>
    <n v="91.8"/>
    <n v="8.1"/>
  </r>
  <r>
    <s v="CBOE"/>
    <s v="CBOE Holdings"/>
    <x v="5"/>
    <n v="111.15"/>
    <n v="35.06"/>
    <n v="0.94269630000000004"/>
    <n v="2.27"/>
    <n v="138.54"/>
    <n v="76.75"/>
    <n v="12998295607"/>
    <n v="488406000"/>
    <n v="8.2490419999999993"/>
    <n v="5.15"/>
    <s v="http://www.sec.gov/cgi-bin/browse-edgar?action=getcompany&amp;CIK=CBOE"/>
    <n v="13"/>
    <n v="0.5"/>
  </r>
  <r>
    <s v="CBG"/>
    <s v="CBRE Group"/>
    <x v="7"/>
    <n v="41.92"/>
    <n v="15.82"/>
    <n v="0"/>
    <n v="1.69"/>
    <n v="46.6"/>
    <n v="30.43"/>
    <n v="14440591731"/>
    <n v="1652961000"/>
    <n v="1.4622321"/>
    <n v="3.74"/>
    <s v="http://www.sec.gov/cgi-bin/browse-edgar?action=getcompany&amp;CIK=CBG"/>
    <n v="14.4"/>
    <n v="1.7"/>
  </r>
  <r>
    <s v="CBS"/>
    <s v="CBS Corp."/>
    <x v="3"/>
    <n v="51.8"/>
    <n v="12.05"/>
    <n v="1.3473054"/>
    <n v="2.81"/>
    <n v="70.094999999999999"/>
    <n v="52.75"/>
    <n v="20431395736"/>
    <n v="2841000000"/>
    <n v="2.1055017"/>
    <n v="6.91"/>
    <s v="http://www.sec.gov/cgi-bin/browse-edgar?action=getcompany&amp;CIK=CBS"/>
    <n v="20.399999999999999"/>
    <n v="2.8"/>
  </r>
  <r>
    <s v="CELG"/>
    <s v="Celgene Corp."/>
    <x v="1"/>
    <n v="91.02"/>
    <n v="13.27"/>
    <n v="0"/>
    <n v="3.58"/>
    <n v="147.16999999999999"/>
    <n v="92.85"/>
    <n v="74921079154"/>
    <n v="5233000000"/>
    <n v="5.8300710000000002"/>
    <n v="7.49"/>
    <s v="http://www.sec.gov/cgi-bin/browse-edgar?action=getcompany&amp;CIK=CELG"/>
    <n v="74.900000000000006"/>
    <n v="5.2"/>
  </r>
  <r>
    <s v="CNC"/>
    <s v="Centene Corporation"/>
    <x v="1"/>
    <n v="100.36"/>
    <n v="19.12"/>
    <n v="0"/>
    <n v="3.23"/>
    <n v="112.42"/>
    <n v="65.03"/>
    <n v="18012494506"/>
    <n v="2063000000"/>
    <n v="0.50286629999999999"/>
    <n v="2.58"/>
    <s v="http://www.sec.gov/cgi-bin/browse-edgar?action=getcompany&amp;CIK=CNC"/>
    <n v="18"/>
    <n v="2.1"/>
  </r>
  <r>
    <s v="CNP"/>
    <s v="CenterPoint Energy"/>
    <x v="4"/>
    <n v="25.85"/>
    <n v="19.73"/>
    <n v="4.2109256000000004"/>
    <n v="1"/>
    <n v="30.45"/>
    <n v="25.51"/>
    <n v="11362043297"/>
    <n v="2337000000"/>
    <n v="1.6262616999999999"/>
    <n v="3.21"/>
    <s v="http://www.sec.gov/cgi-bin/browse-edgar?action=getcompany&amp;CIK=CNP"/>
    <n v="11.4"/>
    <n v="2.2999999999999998"/>
  </r>
  <r>
    <s v="CTL"/>
    <s v="CenturyLink Inc"/>
    <x v="10"/>
    <n v="16.2"/>
    <n v="8.35"/>
    <n v="12.661196"/>
    <n v="1.1599999999999999"/>
    <n v="27.61"/>
    <n v="13.161"/>
    <n v="18237196861"/>
    <n v="5577000000"/>
    <n v="1.4795984"/>
    <n v="1.39"/>
    <s v="http://www.sec.gov/cgi-bin/browse-edgar?action=getcompany&amp;CIK=CTL"/>
    <n v="18.2"/>
    <n v="5.6"/>
  </r>
  <r>
    <s v="CERN"/>
    <s v="Cerner"/>
    <x v="1"/>
    <n v="61.22"/>
    <n v="27.09"/>
    <n v="0"/>
    <n v="1.84"/>
    <n v="73.86"/>
    <n v="51.261699999999998"/>
    <n v="21101697598"/>
    <n v="1523440000"/>
    <n v="5.5560412000000001"/>
    <n v="4.62"/>
    <s v="http://www.sec.gov/cgi-bin/browse-edgar?action=getcompany&amp;CIK=CERN"/>
    <n v="21.1"/>
    <n v="1.5"/>
  </r>
  <r>
    <s v="CF"/>
    <s v="CF Industries Holdings Inc"/>
    <x v="6"/>
    <n v="37.46"/>
    <n v="-59.46"/>
    <n v="3.0395135999999998"/>
    <n v="-1.2"/>
    <n v="43.98"/>
    <n v="25.04"/>
    <n v="9209106695"/>
    <n v="711000000"/>
    <n v="3.0044447999999999"/>
    <n v="2.81"/>
    <s v="http://www.sec.gov/cgi-bin/browse-edgar?action=getcompany&amp;CIK=CF"/>
    <n v="9.1999999999999993"/>
    <n v="0.7"/>
  </r>
  <r>
    <s v="SCHW"/>
    <s v="Charles Schwab Corporation"/>
    <x v="5"/>
    <n v="48.9"/>
    <n v="29.82"/>
    <n v="0.76878725999999997"/>
    <n v="1.61"/>
    <n v="56.25"/>
    <n v="37.159999999999997"/>
    <n v="69750188843"/>
    <n v="0"/>
    <n v="7.9496149999999997"/>
    <n v="4.51"/>
    <s v="http://www.sec.gov/cgi-bin/browse-edgar?action=getcompany&amp;CIK=SCHW"/>
    <n v="69.8"/>
    <n v="0"/>
  </r>
  <r>
    <s v="CHTR"/>
    <s v="Charter Communications"/>
    <x v="3"/>
    <n v="348.65"/>
    <n v="162.91999999999999"/>
    <n v="0"/>
    <n v="34.08"/>
    <n v="408.83"/>
    <n v="308.3"/>
    <n v="86708878113"/>
    <n v="14694000000"/>
    <n v="2.1208634000000002"/>
    <n v="2.27"/>
    <s v="http://www.sec.gov/cgi-bin/browse-edgar?action=getcompany&amp;CIK=CHTR"/>
    <n v="86.7"/>
    <n v="14.7"/>
  </r>
  <r>
    <s v="CHK"/>
    <s v="Chesapeake Energy"/>
    <x v="9"/>
    <n v="2.82"/>
    <n v="4.7"/>
    <n v="0"/>
    <n v="-6.44"/>
    <n v="6.59"/>
    <n v="2.8"/>
    <n v="2626102121"/>
    <n v="1470000000"/>
    <n v="0.40765183999999999"/>
    <n v="1.84"/>
    <s v="http://www.sec.gov/cgi-bin/browse-edgar?action=getcompany&amp;CIK=CHK"/>
    <n v="2.6"/>
    <n v="1.5"/>
  </r>
  <r>
    <s v="CVX"/>
    <s v="Chevron Corp."/>
    <x v="9"/>
    <n v="112.3"/>
    <n v="27.52"/>
    <n v="3.885853"/>
    <n v="4.8499999999999996"/>
    <n v="133.88"/>
    <n v="102.55"/>
    <n v="218978820159"/>
    <n v="28877000000"/>
    <n v="1.6489863"/>
    <n v="1.71"/>
    <s v="http://www.sec.gov/cgi-bin/browse-edgar?action=getcompany&amp;CIK=CVX"/>
    <n v="219"/>
    <n v="28.9"/>
  </r>
  <r>
    <s v="CMG"/>
    <s v="Chipotle Mexican Grill"/>
    <x v="3"/>
    <n v="266.01"/>
    <n v="45.86"/>
    <n v="0"/>
    <n v="0.8"/>
    <n v="499"/>
    <n v="263"/>
    <n v="7685283970"/>
    <n v="401293000"/>
    <n v="2.5523853000000001"/>
    <n v="6.11"/>
    <s v="http://www.sec.gov/cgi-bin/browse-edgar?action=getcompany&amp;CIK=CMG"/>
    <n v="7.7"/>
    <n v="0.4"/>
  </r>
  <r>
    <s v="CB"/>
    <s v="Chubb Limited"/>
    <x v="5"/>
    <n v="140.38999999999999"/>
    <n v="17.5"/>
    <n v="1.9251627"/>
    <n v="8.1999999999999993"/>
    <n v="157.5"/>
    <n v="130.16999999999999"/>
    <n v="68424670566"/>
    <n v="0"/>
    <n v="2.0985637000000001"/>
    <n v="1.35"/>
    <s v="http://www.sec.gov/cgi-bin/browse-edgar?action=getcompany&amp;CIK=CB"/>
    <n v="68.400000000000006"/>
    <n v="0"/>
  </r>
  <r>
    <s v="CHD"/>
    <s v="Church &amp; Dwight"/>
    <x v="8"/>
    <n v="47.38"/>
    <n v="24.42"/>
    <n v="1.8366054000000001"/>
    <n v="2.92"/>
    <n v="54.179900000000004"/>
    <n v="43.21"/>
    <n v="11838963451"/>
    <n v="868000000"/>
    <n v="3.1682448000000001"/>
    <n v="6.28"/>
    <s v="http://www.sec.gov/cgi-bin/browse-edgar?action=getcompany&amp;CIK=CHD"/>
    <n v="11.8"/>
    <n v="0.9"/>
  </r>
  <r>
    <s v="CI"/>
    <s v="CIGNA Corp."/>
    <x v="1"/>
    <n v="189.27"/>
    <n v="18.11"/>
    <n v="2.0466638999999998E-2"/>
    <n v="7.2"/>
    <n v="227.13"/>
    <n v="141.93"/>
    <n v="47680910480"/>
    <n v="0"/>
    <n v="1.550762"/>
    <n v="3.39"/>
    <s v="http://www.sec.gov/cgi-bin/browse-edgar?action=getcompany&amp;CIK=CI"/>
    <n v="47.7"/>
    <n v="0"/>
  </r>
  <r>
    <s v="XEC"/>
    <s v="Cimarex Energy"/>
    <x v="9"/>
    <n v="100.19"/>
    <n v="26.37"/>
    <n v="0.30214333999999998"/>
    <n v="-4.6399999999999997"/>
    <n v="136.31"/>
    <n v="89.49"/>
    <n v="10089082025"/>
    <n v="1061056000"/>
    <n v="7.5564460000000002"/>
    <n v="4.28"/>
    <s v="http://www.sec.gov/cgi-bin/browse-edgar?action=getcompany&amp;CIK=XEC"/>
    <n v="10.1"/>
    <n v="1.1000000000000001"/>
  </r>
  <r>
    <s v="CINF"/>
    <s v="Cincinnati Financial"/>
    <x v="5"/>
    <n v="70.34"/>
    <n v="27.48"/>
    <n v="2.9189039999999999"/>
    <n v="3.55"/>
    <n v="81.98"/>
    <n v="68.239999999999995"/>
    <n v="11916533018"/>
    <n v="0"/>
    <n v="2.7566790000000001"/>
    <n v="1.6"/>
    <s v="http://www.sec.gov/cgi-bin/browse-edgar?action=getcompany&amp;CIK=CINF"/>
    <n v="11.9"/>
    <n v="0"/>
  </r>
  <r>
    <s v="CTAS"/>
    <s v="Cintas Corporation"/>
    <x v="0"/>
    <n v="149.32"/>
    <n v="32.75"/>
    <n v="1.0344827000000001"/>
    <n v="4.38"/>
    <n v="169.96"/>
    <n v="113.79"/>
    <n v="16676145923"/>
    <n v="1097295000"/>
    <n v="2.7614057000000001"/>
    <n v="6.53"/>
    <s v="http://www.sec.gov/cgi-bin/browse-edgar?action=getcompany&amp;CIK=CTAS"/>
    <n v="16.7"/>
    <n v="1.1000000000000001"/>
  </r>
  <r>
    <s v="CSCO"/>
    <s v="Cisco Systems"/>
    <x v="2"/>
    <n v="38.770000000000003"/>
    <n v="17.87"/>
    <n v="2.8755576999999999"/>
    <n v="1.91"/>
    <n v="42.98"/>
    <n v="30.36"/>
    <n v="199425716482"/>
    <n v="15447000000"/>
    <n v="5.4844179999999998"/>
    <n v="3.07"/>
    <s v="http://www.sec.gov/cgi-bin/browse-edgar?action=getcompany&amp;CIK=CSCO"/>
    <n v="199.4"/>
    <n v="15.4"/>
  </r>
  <r>
    <s v="C"/>
    <s v="Citigroup Inc."/>
    <x v="5"/>
    <n v="71.87"/>
    <n v="13.48"/>
    <n v="1.7068943000000001"/>
    <n v="-3.1"/>
    <n v="80.7"/>
    <n v="56.14"/>
    <n v="192709302000"/>
    <n v="0"/>
    <n v="2.1857586000000002"/>
    <n v="0.9"/>
    <s v="http://www.sec.gov/cgi-bin/browse-edgar?action=getcompany&amp;CIK=C"/>
    <n v="192.7"/>
    <n v="0"/>
  </r>
  <r>
    <s v="CFG"/>
    <s v="Citizens Financial Group"/>
    <x v="5"/>
    <n v="42.19"/>
    <n v="16.04"/>
    <n v="1.9625334999999999"/>
    <n v="3.27"/>
    <n v="48.23"/>
    <n v="31.51"/>
    <n v="22008050974"/>
    <n v="0"/>
    <n v="3.3917345999999999"/>
    <n v="1.08"/>
    <s v="http://www.sec.gov/cgi-bin/browse-edgar?action=getcompany&amp;CIK=CFG"/>
    <n v="22"/>
    <n v="0"/>
  </r>
  <r>
    <s v="CTXS"/>
    <s v="Citrix Systems"/>
    <x v="2"/>
    <n v="84.53"/>
    <n v="20.37"/>
    <n v="0"/>
    <n v="-0.24"/>
    <n v="95"/>
    <n v="73.334599999999995"/>
    <n v="13199167493"/>
    <n v="810268000"/>
    <n v="4.7538714000000004"/>
    <n v="6.73"/>
    <s v="http://www.sec.gov/cgi-bin/browse-edgar?action=getcompany&amp;CIK=CTXS"/>
    <n v="13.2"/>
    <n v="0.8"/>
  </r>
  <r>
    <s v="CME"/>
    <s v="CME Group Inc."/>
    <x v="5"/>
    <n v="153.04"/>
    <n v="32.15"/>
    <n v="3.6828612999999999"/>
    <n v="11.94"/>
    <n v="163"/>
    <n v="114.8176"/>
    <n v="54423298745"/>
    <n v="2851800000"/>
    <n v="14.881805999999999"/>
    <n v="2.5099999999999998"/>
    <s v="http://www.sec.gov/cgi-bin/browse-edgar?action=getcompany&amp;CIK=CME"/>
    <n v="54.4"/>
    <n v="2.9"/>
  </r>
  <r>
    <s v="CMS"/>
    <s v="CMS Energy"/>
    <x v="4"/>
    <n v="41.77"/>
    <n v="21.42"/>
    <n v="3.3918406999999999"/>
    <n v="1.99"/>
    <n v="50.85"/>
    <n v="41.07"/>
    <n v="11873960824"/>
    <n v="2099000000"/>
    <n v="2.4711675999999998"/>
    <n v="2.65"/>
    <s v="http://www.sec.gov/cgi-bin/browse-edgar?action=getcompany&amp;CIK=CMS"/>
    <n v="11.9"/>
    <n v="2.1"/>
  </r>
  <r>
    <s v="KO"/>
    <s v="Coca-Cola Company (The)"/>
    <x v="8"/>
    <n v="43.1"/>
    <n v="22.8"/>
    <n v="3.3213644000000002"/>
    <n v="1.49"/>
    <n v="48.615000000000002"/>
    <n v="40.22"/>
    <n v="189855335601"/>
    <n v="8589000000"/>
    <n v="6.8221379999999998"/>
    <n v="8.65"/>
    <s v="http://www.sec.gov/cgi-bin/browse-edgar?action=getcompany&amp;CIK=KO"/>
    <n v="189.9"/>
    <n v="8.6"/>
  </r>
  <r>
    <s v="CTSH"/>
    <s v="Cognizant Technology Solutions"/>
    <x v="2"/>
    <n v="75.16"/>
    <n v="22.44"/>
    <n v="1.0454783000000001"/>
    <n v="2.54"/>
    <n v="79.28"/>
    <n v="54.76"/>
    <n v="45119684067"/>
    <n v="2946000000"/>
    <n v="3.9678396999999999"/>
    <n v="3.94"/>
    <s v="http://www.sec.gov/cgi-bin/browse-edgar?action=getcompany&amp;CIK=CTSH"/>
    <n v="45.1"/>
    <n v="2.9"/>
  </r>
  <r>
    <s v="CL"/>
    <s v="Colgate-Palmolive"/>
    <x v="8"/>
    <n v="68.95"/>
    <n v="24.02"/>
    <n v="2.2801765999999999"/>
    <n v="2.2799999999999998"/>
    <n v="77.91"/>
    <n v="66.260000000000005"/>
    <n v="61616643498"/>
    <n v="4064000000"/>
    <n v="4.000737"/>
    <n v="236.42"/>
    <s v="http://www.sec.gov/cgi-bin/browse-edgar?action=getcompany&amp;CIK=CL"/>
    <n v="61.6"/>
    <n v="4.0999999999999996"/>
  </r>
  <r>
    <s v="CMCSA"/>
    <s v="Comcast Corp."/>
    <x v="3"/>
    <n v="38.19"/>
    <n v="18.54"/>
    <n v="1.8929016999999999"/>
    <n v="4.74"/>
    <n v="44"/>
    <n v="34.78"/>
    <n v="186476996883"/>
    <n v="28675000000"/>
    <n v="2.1797748000000001"/>
    <n v="2.65"/>
    <s v="http://www.sec.gov/cgi-bin/browse-edgar?action=getcompany&amp;CIK=CMCSA"/>
    <n v="186.5"/>
    <n v="28.7"/>
  </r>
  <r>
    <s v="CMA"/>
    <s v="Comerica Inc."/>
    <x v="5"/>
    <n v="89.18"/>
    <n v="18.89"/>
    <n v="1.2823252999999999"/>
    <n v="4.13"/>
    <n v="98.18"/>
    <n v="64.040000000000006"/>
    <n v="16274969256"/>
    <n v="0"/>
    <n v="4.9054719999999996"/>
    <n v="1.96"/>
    <s v="http://www.sec.gov/cgi-bin/browse-edgar?action=getcompany&amp;CIK=CMA"/>
    <n v="16.3"/>
    <n v="0"/>
  </r>
  <r>
    <s v="CAG"/>
    <s v="Conagra Brands"/>
    <x v="8"/>
    <n v="35.49"/>
    <n v="18.2"/>
    <n v="2.3683475999999999"/>
    <n v="1.46"/>
    <n v="41.68"/>
    <n v="32.159999999999997"/>
    <n v="14379717835"/>
    <n v="1281200000"/>
    <n v="1.8294994"/>
    <n v="3.86"/>
    <s v="http://www.sec.gov/cgi-bin/browse-edgar?action=getcompany&amp;CIK=CAG"/>
    <n v="14.4"/>
    <n v="1.3"/>
  </r>
  <r>
    <s v="CXO"/>
    <s v="Concho Resources"/>
    <x v="9"/>
    <n v="140.09"/>
    <n v="84.39"/>
    <n v="0"/>
    <n v="-11.04"/>
    <n v="162.91"/>
    <n v="106.73"/>
    <n v="22021882339"/>
    <n v="2151190000"/>
    <n v="12.271951"/>
    <n v="2.61"/>
    <s v="http://www.sec.gov/cgi-bin/browse-edgar?action=getcompany&amp;CIK=CXO"/>
    <n v="22"/>
    <n v="2.2000000000000002"/>
  </r>
  <r>
    <s v="COP"/>
    <s v="ConocoPhillips"/>
    <x v="9"/>
    <n v="53.24"/>
    <n v="72.930000000000007"/>
    <n v="2.0492539999999999"/>
    <n v="-0.65"/>
    <n v="61.314999999999998"/>
    <n v="42.265000000000001"/>
    <n v="65482462410"/>
    <n v="5328000000"/>
    <n v="2.0764176999999999"/>
    <n v="2.16"/>
    <s v="http://www.sec.gov/cgi-bin/browse-edgar?action=getcompany&amp;CIK=COP"/>
    <n v="65.5"/>
    <n v="5.3"/>
  </r>
  <r>
    <s v="ED"/>
    <s v="Consolidated Edison"/>
    <x v="4"/>
    <n v="74.73"/>
    <n v="18.64"/>
    <n v="3.8001594999999999"/>
    <n v="4.0999999999999996"/>
    <n v="89.7"/>
    <n v="72.63"/>
    <n v="23335777662"/>
    <n v="4288000000"/>
    <n v="2.9602439999999999"/>
    <n v="1.58"/>
    <s v="http://www.sec.gov/cgi-bin/browse-edgar?action=getcompany&amp;CIK=ED"/>
    <n v="23.3"/>
    <n v="4.3"/>
  </r>
  <r>
    <s v="STZ"/>
    <s v="Constellation Brands"/>
    <x v="8"/>
    <n v="208.73"/>
    <n v="30.92"/>
    <n v="0.97128179999999997"/>
    <n v="8.7100000000000009"/>
    <n v="229.5"/>
    <n v="152.01"/>
    <n v="41697453163"/>
    <n v="3033300000"/>
    <n v="5.1455960000000003"/>
    <n v="5.14"/>
    <s v="http://www.sec.gov/cgi-bin/browse-edgar?action=getcompany&amp;CIK=STZ"/>
    <n v="41.7"/>
    <n v="3"/>
  </r>
  <r>
    <s v="GLW"/>
    <s v="Corning Inc."/>
    <x v="2"/>
    <n v="28.45"/>
    <n v="16.45"/>
    <n v="2.0791415999999998"/>
    <n v="-0.78"/>
    <n v="35.1"/>
    <n v="26.31"/>
    <n v="25759280346"/>
    <n v="2970000000"/>
    <n v="2.5446819999999999"/>
    <n v="1.71"/>
    <s v="http://www.sec.gov/cgi-bin/browse-edgar?action=getcompany&amp;CIK=GLW"/>
    <n v="25.8"/>
    <n v="3"/>
  </r>
  <r>
    <s v="COST"/>
    <s v="Costco Wholesale Corp."/>
    <x v="8"/>
    <n v="178.61"/>
    <n v="30.69"/>
    <n v="1.0917627000000001"/>
    <n v="6.09"/>
    <n v="199.88"/>
    <n v="150"/>
    <n v="80439804508"/>
    <n v="5679000000"/>
    <n v="0.61203885000000002"/>
    <n v="7.24"/>
    <s v="http://www.sec.gov/cgi-bin/browse-edgar?action=getcompany&amp;CIK=COST"/>
    <n v="80.400000000000006"/>
    <n v="5.7"/>
  </r>
  <r>
    <s v="COTY"/>
    <s v="Coty, Inc"/>
    <x v="8"/>
    <n v="19.96"/>
    <n v="24.64"/>
    <n v="2.8604120000000002"/>
    <n v="-0.63"/>
    <n v="21.175000000000001"/>
    <n v="14.24"/>
    <n v="13101112504"/>
    <n v="211400000"/>
    <n v="2.0061795999999998"/>
    <n v="1.37"/>
    <s v="http://www.sec.gov/cgi-bin/browse-edgar?action=getcompany&amp;CIK=COTY"/>
    <n v="13.1"/>
    <n v="0.2"/>
  </r>
  <r>
    <s v="CCI"/>
    <s v="Crown Castle International Corp."/>
    <x v="7"/>
    <n v="103.81"/>
    <n v="21.45"/>
    <n v="3.862069"/>
    <n v="1.02"/>
    <n v="114.97"/>
    <n v="86.93"/>
    <n v="44183023189"/>
    <n v="2292600000"/>
    <n v="10.125291000000001"/>
    <n v="3.54"/>
    <s v="http://www.sec.gov/cgi-bin/browse-edgar?action=getcompany&amp;CIK=CCI"/>
    <n v="44.2"/>
    <n v="2.2999999999999998"/>
  </r>
  <r>
    <s v="CSRA"/>
    <s v="CSRA Inc."/>
    <x v="2"/>
    <n v="30.85"/>
    <n v="15.12"/>
    <n v="1.275917"/>
    <n v="1.83"/>
    <n v="33.79"/>
    <n v="27.38"/>
    <n v="5134501276"/>
    <n v="543000000"/>
    <n v="1.3324838999999999"/>
    <n v="11.37"/>
    <s v="http://www.sec.gov/cgi-bin/browse-edgar?action=getcompany&amp;CIK=CSRA"/>
    <n v="5.0999999999999996"/>
    <n v="0.5"/>
  </r>
  <r>
    <s v="CSX"/>
    <s v="CSX Corp."/>
    <x v="0"/>
    <n v="50.47"/>
    <n v="21.94"/>
    <n v="1.5102888000000001"/>
    <n v="6.07"/>
    <n v="60.04"/>
    <n v="45.41"/>
    <n v="47340511707"/>
    <n v="5003000000"/>
    <n v="4.2163550000000001"/>
    <n v="4.2699999999999996"/>
    <s v="http://www.sec.gov/cgi-bin/browse-edgar?action=getcompany&amp;CIK=CSX"/>
    <n v="47.3"/>
    <n v="5"/>
  </r>
  <r>
    <s v="CMI"/>
    <s v="Cummins Inc."/>
    <x v="0"/>
    <n v="165.73"/>
    <n v="16.829999999999998"/>
    <n v="2.5008683"/>
    <n v="8.23"/>
    <n v="194.18"/>
    <n v="143.83009999999999"/>
    <n v="28669230787"/>
    <n v="2924000000"/>
    <n v="1.9406167999999999"/>
    <n v="3.89"/>
    <s v="http://www.sec.gov/cgi-bin/browse-edgar?action=getcompany&amp;CIK=CMI"/>
    <n v="28.7"/>
    <n v="2.9"/>
  </r>
  <r>
    <s v="CVS"/>
    <s v="CVS Health"/>
    <x v="8"/>
    <n v="70.55"/>
    <n v="12.36"/>
    <n v="2.6899798000000001"/>
    <n v="4.91"/>
    <n v="84"/>
    <n v="66.45"/>
    <n v="75323141722"/>
    <n v="11704000000"/>
    <n v="0.54985200000000001"/>
    <n v="2.13"/>
    <s v="http://www.sec.gov/cgi-bin/browse-edgar?action=getcompany&amp;CIK=CVS"/>
    <n v="75.3"/>
    <n v="11.7"/>
  </r>
  <r>
    <s v="DHI"/>
    <s v="D. R. Horton"/>
    <x v="3"/>
    <n v="44.55"/>
    <n v="16.32"/>
    <n v="1.0801468999999999"/>
    <n v="2.73"/>
    <n v="53.32"/>
    <n v="29.371600000000001"/>
    <n v="17390873686"/>
    <n v="1691000000"/>
    <n v="1.1931022"/>
    <n v="2.17"/>
    <s v="http://www.sec.gov/cgi-bin/browse-edgar?action=getcompany&amp;CIK=DHI"/>
    <n v="17.399999999999999"/>
    <n v="1.7"/>
  </r>
  <r>
    <s v="DHR"/>
    <s v="Danaher Corp."/>
    <x v="1"/>
    <n v="92.16"/>
    <n v="22.87"/>
    <n v="0.58792650000000002"/>
    <n v="3.53"/>
    <n v="104.82"/>
    <n v="78.97"/>
    <n v="66351150000"/>
    <n v="4339800000"/>
    <n v="3.6882779999999999"/>
    <n v="2.65"/>
    <s v="http://www.sec.gov/cgi-bin/browse-edgar?action=getcompany&amp;CIK=DHR"/>
    <n v="66.400000000000006"/>
    <n v="4.3"/>
  </r>
  <r>
    <s v="DRI"/>
    <s v="Darden Restaurants"/>
    <x v="3"/>
    <n v="91.33"/>
    <n v="22.72"/>
    <n v="2.6503996999999999"/>
    <n v="3.81"/>
    <n v="100.11"/>
    <n v="71.7"/>
    <n v="11745595320"/>
    <n v="997600000"/>
    <n v="1.5278828"/>
    <n v="5.89"/>
    <s v="http://www.sec.gov/cgi-bin/browse-edgar?action=getcompany&amp;CIK=DRI"/>
    <n v="11.7"/>
    <n v="1"/>
  </r>
  <r>
    <s v="DVA"/>
    <s v="DaVita Inc."/>
    <x v="1"/>
    <n v="71.91"/>
    <n v="20.55"/>
    <n v="0"/>
    <n v="4.3"/>
    <n v="80.709999999999994"/>
    <n v="52.51"/>
    <n v="13685178000"/>
    <n v="2252294000"/>
    <n v="1.1451397000000001"/>
    <n v="2.79"/>
    <s v="http://www.sec.gov/cgi-bin/browse-edgar?action=getcompany&amp;CIK=DVA"/>
    <n v="13.7"/>
    <n v="2.2999999999999998"/>
  </r>
  <r>
    <s v="DE"/>
    <s v="Deere &amp; Co."/>
    <x v="0"/>
    <n v="153.66"/>
    <n v="23.14"/>
    <n v="1.4866204000000001"/>
    <n v="6.64"/>
    <n v="171.96"/>
    <n v="106.72"/>
    <n v="52186628646"/>
    <n v="4053300000"/>
    <n v="2.3746448"/>
    <n v="5.31"/>
    <s v="http://www.sec.gov/cgi-bin/browse-edgar?action=getcompany&amp;CIK=DE"/>
    <n v="52.2"/>
    <n v="4.0999999999999996"/>
  </r>
  <r>
    <s v="DAL"/>
    <s v="Delta Air Lines Inc."/>
    <x v="0"/>
    <n v="51.23"/>
    <n v="10.37"/>
    <n v="2.2655525000000001"/>
    <n v="4.9400000000000004"/>
    <n v="60.79"/>
    <n v="43.81"/>
    <n v="38393603535"/>
    <n v="8348000000"/>
    <n v="0.91792434000000001"/>
    <n v="2.67"/>
    <s v="http://www.sec.gov/cgi-bin/browse-edgar?action=getcompany&amp;CIK=DAL"/>
    <n v="38.4"/>
    <n v="8.3000000000000007"/>
  </r>
  <r>
    <s v="XRAY"/>
    <s v="Dentsply Sirona"/>
    <x v="1"/>
    <n v="56.85"/>
    <n v="22.65"/>
    <n v="0.60034304999999999"/>
    <n v="1.99"/>
    <n v="68.98"/>
    <n v="52.534999999999997"/>
    <n v="13390513478"/>
    <n v="-411100000"/>
    <n v="4.6262619999999997"/>
    <n v="1.8"/>
    <s v="http://www.sec.gov/cgi-bin/browse-edgar?action=getcompany&amp;CIK=XRAY"/>
    <n v="13.4"/>
    <n v="-0.4"/>
  </r>
  <r>
    <s v="DVN"/>
    <s v="Devon Energy Corp."/>
    <x v="9"/>
    <n v="34.94"/>
    <n v="23.93"/>
    <n v="0.65288360000000001"/>
    <n v="-6.89"/>
    <n v="47.25"/>
    <n v="28.794699999999999"/>
    <n v="19317380000"/>
    <n v="3723000000"/>
    <n v="2.0660408000000001"/>
    <n v="2.85"/>
    <s v="http://www.sec.gov/cgi-bin/browse-edgar?action=getcompany&amp;CIK=DVN"/>
    <n v="19.3"/>
    <n v="3.7"/>
  </r>
  <r>
    <s v="DLR"/>
    <s v="Digital Realty Trust Inc"/>
    <x v="7"/>
    <n v="98.96"/>
    <n v="16.55"/>
    <n v="3.5710856999999998"/>
    <n v="2.19"/>
    <n v="127.23"/>
    <n v="101.101"/>
    <n v="21400952517"/>
    <n v="1260662000"/>
    <n v="12.434960999999999"/>
    <n v="2.3199999999999998"/>
    <s v="http://www.sec.gov/cgi-bin/browse-edgar?action=getcompany&amp;CIK=DLR"/>
    <n v="21.4"/>
    <n v="1.3"/>
  </r>
  <r>
    <s v="DFS"/>
    <s v="Discover Financial Services"/>
    <x v="5"/>
    <n v="72.400000000000006"/>
    <n v="12.13"/>
    <n v="1.8269607000000001"/>
    <n v="5.41"/>
    <n v="81.93"/>
    <n v="57.5"/>
    <n v="27433540000"/>
    <n v="0"/>
    <n v="2.3610324999999999"/>
    <n v="2.52"/>
    <s v="http://www.sec.gov/cgi-bin/browse-edgar?action=getcompany&amp;CIK=DFS"/>
    <n v="27.4"/>
    <n v="0"/>
  </r>
  <r>
    <s v="DISCA"/>
    <s v="Discovery Communications-A"/>
    <x v="3"/>
    <n v="22.87"/>
    <n v="11"/>
    <n v="0"/>
    <n v="1.96"/>
    <n v="30.25"/>
    <n v="15.99"/>
    <n v="8763756733"/>
    <n v="2100000000"/>
    <n v="1.8040879999999999"/>
    <n v="1.5"/>
    <s v="http://www.sec.gov/cgi-bin/browse-edgar?action=getcompany&amp;CIK=DISCA"/>
    <n v="8.8000000000000007"/>
    <n v="2.1"/>
  </r>
  <r>
    <s v="DISCK"/>
    <s v="Discovery Communications-C"/>
    <x v="3"/>
    <n v="21.58"/>
    <n v="10.37"/>
    <n v="0"/>
    <n v="1.96"/>
    <n v="29.18"/>
    <n v="14.99"/>
    <n v="8320262123"/>
    <n v="2100000000"/>
    <n v="1.7147918"/>
    <n v="1.43"/>
    <s v="http://www.sec.gov/cgi-bin/browse-edgar?action=getcompany&amp;CIK=DISCK"/>
    <n v="8.3000000000000007"/>
    <n v="2.1"/>
  </r>
  <r>
    <s v="DISH"/>
    <s v="Dish Network"/>
    <x v="3"/>
    <n v="43.77"/>
    <n v="16.09"/>
    <n v="0"/>
    <n v="3.06"/>
    <n v="66.5"/>
    <n v="42.48"/>
    <n v="21032719056"/>
    <n v="2754331000"/>
    <n v="1.8521843"/>
    <n v="3.76"/>
    <s v="http://www.sec.gov/cgi-bin/browse-edgar?action=getcompany&amp;CIK=DISH"/>
    <n v="21"/>
    <n v="2.8"/>
  </r>
  <r>
    <s v="DG"/>
    <s v="Dollar General"/>
    <x v="3"/>
    <n v="95.1"/>
    <n v="21.18"/>
    <n v="1.0625255"/>
    <n v="4.43"/>
    <n v="105.82"/>
    <n v="65.97"/>
    <n v="26580644874"/>
    <n v="2457604000"/>
    <n v="1.5283886"/>
    <n v="4.53"/>
    <s v="http://www.sec.gov/cgi-bin/browse-edgar?action=getcompany&amp;CIK=DG"/>
    <n v="26.6"/>
    <n v="2.5"/>
  </r>
  <r>
    <s v="DLTR"/>
    <s v="Dollar Tree"/>
    <x v="3"/>
    <n v="101.58"/>
    <n v="26.66"/>
    <n v="0"/>
    <n v="3.77"/>
    <n v="116.65"/>
    <n v="65.63"/>
    <n v="25151198417"/>
    <n v="2430300000"/>
    <n v="1.6097589000000001"/>
    <n v="4.08"/>
    <s v="http://www.sec.gov/cgi-bin/browse-edgar?action=getcompany&amp;CIK=DLTR"/>
    <n v="25.2"/>
    <n v="2.4"/>
  </r>
  <r>
    <s v="D"/>
    <s v="Dominion Energy"/>
    <x v="4"/>
    <n v="73.31"/>
    <n v="20.420000000000002"/>
    <n v="4.5281997"/>
    <n v="4.91"/>
    <n v="85.3"/>
    <n v="71.59"/>
    <n v="47543571860"/>
    <n v="6428000000"/>
    <n v="3.7954213999999999"/>
    <n v="2.96"/>
    <s v="http://www.sec.gov/cgi-bin/browse-edgar?action=getcompany&amp;CIK=D"/>
    <n v="47.5"/>
    <n v="6.4"/>
  </r>
  <r>
    <s v="DOV"/>
    <s v="Dover Corp."/>
    <x v="0"/>
    <n v="96.2"/>
    <n v="23.87"/>
    <n v="1.8815052999999999"/>
    <n v="5.15"/>
    <n v="109.06"/>
    <n v="75.510000000000005"/>
    <n v="15566645713"/>
    <n v="1513291000"/>
    <n v="1.9861759999999999"/>
    <n v="3.59"/>
    <s v="http://www.sec.gov/cgi-bin/browse-edgar?action=getcompany&amp;CIK=DOV"/>
    <n v="15.6"/>
    <n v="1.5"/>
  </r>
  <r>
    <s v="DWDP"/>
    <s v="DowDuPont"/>
    <x v="6"/>
    <n v="68.209999999999994"/>
    <n v="49.43"/>
    <n v="2.1529745999999998"/>
    <n v="1.59"/>
    <n v="77.08"/>
    <n v="64.010000000000005"/>
    <n v="165203312427"/>
    <n v="5250000000"/>
    <n v="2.6922394999999999"/>
    <n v="1.54"/>
    <s v="http://www.sec.gov/cgi-bin/browse-edgar?action=getcompany&amp;CIK=DWDP"/>
    <n v="165.2"/>
    <n v="5.2"/>
  </r>
  <r>
    <s v="DPS"/>
    <s v="Dr Pepper Snapple Group"/>
    <x v="8"/>
    <n v="116.93"/>
    <n v="26.57"/>
    <n v="1.9661016"/>
    <n v="4.54"/>
    <n v="126.65"/>
    <n v="83.23"/>
    <n v="21209783858"/>
    <n v="1507000000"/>
    <n v="4.2149185999999998"/>
    <n v="9.99"/>
    <s v="http://www.sec.gov/cgi-bin/browse-edgar?action=getcompany&amp;CIK=DPS"/>
    <n v="21.2"/>
    <n v="1.5"/>
  </r>
  <r>
    <s v="DTE"/>
    <s v="DTE Energy Co."/>
    <x v="4"/>
    <n v="98.49"/>
    <n v="19.12"/>
    <n v="3.5559585"/>
    <n v="4.82"/>
    <n v="116.74"/>
    <n v="96.56"/>
    <n v="17808073691"/>
    <n v="2790000000"/>
    <n v="1.9091921999999999"/>
    <n v="1.95"/>
    <s v="http://www.sec.gov/cgi-bin/browse-edgar?action=getcompany&amp;CIK=DTE"/>
    <n v="17.8"/>
    <n v="2.8"/>
  </r>
  <r>
    <s v="DUK"/>
    <s v="Duke Energy"/>
    <x v="4"/>
    <n v="74.319999999999993"/>
    <n v="16.7"/>
    <n v="4.7849463999999999"/>
    <n v="3.12"/>
    <n v="91.8"/>
    <n v="72.930000000000007"/>
    <n v="52078185682"/>
    <n v="9895000000"/>
    <n v="2.9348857000000002"/>
    <n v="1.27"/>
    <s v="http://www.sec.gov/cgi-bin/browse-edgar?action=getcompany&amp;CIK=DUK"/>
    <n v="52.1"/>
    <n v="9.9"/>
  </r>
  <r>
    <s v="DRE"/>
    <s v="Duke Realty Corp"/>
    <x v="7"/>
    <n v="24.52"/>
    <n v="19.77"/>
    <n v="3.1533308"/>
    <n v="0.88"/>
    <n v="30.14"/>
    <n v="24.73"/>
    <n v="9035293365"/>
    <n v="529483000"/>
    <n v="16.077256999999999"/>
    <n v="1.94"/>
    <s v="http://www.sec.gov/cgi-bin/browse-edgar?action=getcompany&amp;CIK=DRE"/>
    <n v="9"/>
    <n v="0.5"/>
  </r>
  <r>
    <s v="DXC"/>
    <s v="DXC Technology"/>
    <x v="2"/>
    <n v="91.92"/>
    <n v="79.930000000000007"/>
    <n v="0.74937549999999997"/>
    <n v="-0.89"/>
    <n v="102.95"/>
    <n v="67.760000000000005"/>
    <n v="27408621020"/>
    <n v="1628000000"/>
    <n v="1.9598055000000001"/>
    <n v="2.2599999999999998"/>
    <s v="http://www.sec.gov/cgi-bin/browse-edgar?action=getcompany&amp;CIK=DXC"/>
    <n v="27.4"/>
    <n v="1.6"/>
  </r>
  <r>
    <s v="ETFC"/>
    <s v="E*Trade"/>
    <x v="5"/>
    <n v="48.48"/>
    <n v="22.14"/>
    <n v="0"/>
    <n v="2.15"/>
    <n v="56"/>
    <n v="32.25"/>
    <n v="13754977266"/>
    <n v="0"/>
    <n v="5.6891360000000004"/>
    <n v="2.15"/>
    <s v="http://www.sec.gov/cgi-bin/browse-edgar?action=getcompany&amp;CIK=ETFC"/>
    <n v="13.8"/>
    <n v="0"/>
  </r>
  <r>
    <s v="EMN"/>
    <s v="Eastman Chemical"/>
    <x v="6"/>
    <n v="93.57"/>
    <n v="12.28"/>
    <n v="2.2630835"/>
    <n v="10.119999999999999"/>
    <n v="104.08"/>
    <n v="76.02"/>
    <n v="14226830813"/>
    <n v="2152000000"/>
    <n v="1.4904785"/>
    <n v="2.78"/>
    <s v="http://www.sec.gov/cgi-bin/browse-edgar?action=getcompany&amp;CIK=EMN"/>
    <n v="14.2"/>
    <n v="2.2000000000000002"/>
  </r>
  <r>
    <s v="ETN"/>
    <s v="Eaton Corporation"/>
    <x v="0"/>
    <n v="79.41"/>
    <n v="17.079999999999998"/>
    <n v="2.9404556999999998"/>
    <n v="6.68"/>
    <n v="89.85"/>
    <n v="69.45"/>
    <n v="35961772000"/>
    <n v="4253000000"/>
    <n v="1.8161735999999999"/>
    <n v="2.17"/>
    <s v="http://www.sec.gov/cgi-bin/browse-edgar?action=getcompany&amp;CIK=ETN"/>
    <n v="36"/>
    <n v="4.3"/>
  </r>
  <r>
    <s v="EBAY"/>
    <s v="eBay Inc."/>
    <x v="2"/>
    <n v="41.02"/>
    <n v="24.86"/>
    <n v="0"/>
    <n v="-1.07"/>
    <n v="46.99"/>
    <n v="31.89"/>
    <n v="44216696399"/>
    <n v="2941000000"/>
    <n v="4.6720185000000001"/>
    <n v="3.8"/>
    <s v="http://www.sec.gov/cgi-bin/browse-edgar?action=getcompany&amp;CIK=EBAY"/>
    <n v="44.2"/>
    <n v="2.9"/>
  </r>
  <r>
    <s v="ECL"/>
    <s v="Ecolab Inc."/>
    <x v="6"/>
    <n v="127.76"/>
    <n v="28.08"/>
    <n v="1.2319711"/>
    <n v="4.1399999999999997"/>
    <n v="140.5"/>
    <n v="119.61"/>
    <n v="38460272282"/>
    <n v="2848600000"/>
    <n v="3.7360687000000001"/>
    <n v="5.28"/>
    <s v="http://www.sec.gov/cgi-bin/browse-edgar?action=getcompany&amp;CIK=ECL"/>
    <n v="38.5"/>
    <n v="2.8"/>
  </r>
  <r>
    <s v="EIX"/>
    <s v="Edison Int'l"/>
    <x v="4"/>
    <n v="58.07"/>
    <n v="13.23"/>
    <n v="4.0542803000000003"/>
    <n v="3.96"/>
    <n v="83.38"/>
    <n v="58.76"/>
    <n v="19447670886"/>
    <n v="4284000000"/>
    <n v="2.161095"/>
    <n v="1.59"/>
    <s v="http://www.sec.gov/cgi-bin/browse-edgar?action=getcompany&amp;CIK=EIX"/>
    <n v="19.399999999999999"/>
    <n v="4.3"/>
  </r>
  <r>
    <s v="EW"/>
    <s v="Edwards Lifesciences"/>
    <x v="1"/>
    <n v="123.78"/>
    <n v="32.57"/>
    <n v="0"/>
    <n v="2.88"/>
    <n v="138.47999999999999"/>
    <n v="89.2"/>
    <n v="27447099863"/>
    <n v="1156700000"/>
    <n v="7.8283277"/>
    <n v="8.48"/>
    <s v="http://www.sec.gov/cgi-bin/browse-edgar?action=getcompany&amp;CIK=EW"/>
    <n v="27.4"/>
    <n v="1.2"/>
  </r>
  <r>
    <s v="EA"/>
    <s v="Electronic Arts"/>
    <x v="2"/>
    <n v="116.54"/>
    <n v="34.479999999999997"/>
    <n v="0"/>
    <n v="3.07"/>
    <n v="131.01"/>
    <n v="81.27"/>
    <n v="37890226992"/>
    <n v="1560000000"/>
    <n v="7.4415817000000004"/>
    <n v="8.5399999999999991"/>
    <s v="http://www.sec.gov/cgi-bin/browse-edgar?action=getcompany&amp;CIK=EA"/>
    <n v="37.9"/>
    <n v="1.6"/>
  </r>
  <r>
    <s v="EMR"/>
    <s v="Emerson Electric Company"/>
    <x v="0"/>
    <n v="66.400000000000006"/>
    <n v="25.74"/>
    <n v="2.8132250000000001"/>
    <n v="2.35"/>
    <n v="74.45"/>
    <n v="56.77"/>
    <n v="44040298425"/>
    <n v="2542000000"/>
    <n v="3.6707752"/>
    <n v="5.01"/>
    <s v="http://www.sec.gov/cgi-bin/browse-edgar?action=getcompany&amp;CIK=EMR"/>
    <n v="44"/>
    <n v="2.5"/>
  </r>
  <r>
    <s v="ETR"/>
    <s v="Entergy Corp."/>
    <x v="4"/>
    <n v="72.02"/>
    <n v="10.65"/>
    <n v="4.8921260000000002"/>
    <n v="-3.26"/>
    <n v="87.95"/>
    <n v="69.63"/>
    <n v="13116894887"/>
    <n v="880700000"/>
    <n v="1.5543115000000001"/>
    <n v="1.54"/>
    <s v="http://www.sec.gov/cgi-bin/browse-edgar?action=getcompany&amp;CIK=ETR"/>
    <n v="13.1"/>
    <n v="0.9"/>
  </r>
  <r>
    <s v="EVHC"/>
    <s v="Envision Healthcare"/>
    <x v="1"/>
    <n v="35.340000000000003"/>
    <n v="10.91"/>
    <n v="0"/>
    <n v="-0.48"/>
    <n v="73"/>
    <n v="23.77"/>
    <n v="4212729247"/>
    <n v="827200000"/>
    <n v="1.2270989999999999"/>
    <n v="0.64"/>
    <s v="http://www.sec.gov/cgi-bin/browse-edgar?action=getcompany&amp;CIK=EVHC"/>
    <n v="4.2"/>
    <n v="0.8"/>
  </r>
  <r>
    <s v="EOG"/>
    <s v="EOG Resources"/>
    <x v="9"/>
    <n v="101.04"/>
    <n v="246.44"/>
    <n v="0.63339007000000003"/>
    <n v="-1.98"/>
    <n v="119"/>
    <n v="81.99"/>
    <n v="61164030149"/>
    <n v="3692749000"/>
    <n v="8.0230200000000007"/>
    <n v="4.55"/>
    <s v="http://www.sec.gov/cgi-bin/browse-edgar?action=getcompany&amp;CIK=EOG"/>
    <n v="61.2"/>
    <n v="3.7"/>
  </r>
  <r>
    <s v="EQT"/>
    <s v="EQT Corporation"/>
    <x v="9"/>
    <n v="46.25"/>
    <n v="53.16"/>
    <n v="0.25183630000000001"/>
    <n v="-2.69"/>
    <n v="67.84"/>
    <n v="47.13"/>
    <n v="12638828950"/>
    <n v="1518305000"/>
    <n v="6.4987307000000003"/>
    <n v="2.15"/>
    <s v="http://www.sec.gov/cgi-bin/browse-edgar?action=getcompany&amp;CIK=EQT"/>
    <n v="12.6"/>
    <n v="1.5"/>
  </r>
  <r>
    <s v="EFX"/>
    <s v="Equifax Inc."/>
    <x v="0"/>
    <n v="114"/>
    <n v="19.03"/>
    <n v="1.3265305999999999"/>
    <n v="4.04"/>
    <n v="147.02000000000001"/>
    <n v="90.72"/>
    <n v="14121334618"/>
    <n v="1141200000"/>
    <n v="5.6338058000000002"/>
    <n v="4.59"/>
    <s v="http://www.sec.gov/cgi-bin/browse-edgar?action=getcompany&amp;CIK=EFX"/>
    <n v="14.1"/>
    <n v="1.1000000000000001"/>
  </r>
  <r>
    <s v="EQIX"/>
    <s v="Equinix"/>
    <x v="7"/>
    <n v="409.98"/>
    <n v="23.06"/>
    <n v="1.8775816999999999"/>
    <n v="1.77"/>
    <n v="495.34500000000003"/>
    <n v="361.9"/>
    <n v="33333813618"/>
    <n v="1687152000"/>
    <n v="10.639136000000001"/>
    <n v="5.14"/>
    <s v="http://www.sec.gov/cgi-bin/browse-edgar?action=getcompany&amp;CIK=EQIX"/>
    <n v="33.299999999999997"/>
    <n v="1.7"/>
  </r>
  <r>
    <s v="EQR"/>
    <s v="Equity Residential"/>
    <x v="7"/>
    <n v="55.26"/>
    <n v="17.600000000000001"/>
    <n v="3.5437918000000002"/>
    <n v="1.63"/>
    <n v="70.454999999999998"/>
    <n v="56.07"/>
    <n v="20925508143"/>
    <n v="1710686000"/>
    <n v="8.5936190000000003"/>
    <n v="2.09"/>
    <s v="http://www.sec.gov/cgi-bin/browse-edgar?action=getcompany&amp;CIK=EQR"/>
    <n v="20.9"/>
    <n v="1.7"/>
  </r>
  <r>
    <s v="ESS"/>
    <s v="Essex Property Trust, Inc."/>
    <x v="7"/>
    <n v="218.28"/>
    <n v="18.66"/>
    <n v="3.2138102000000002"/>
    <n v="6.27"/>
    <n v="270.04000000000002"/>
    <n v="214.03"/>
    <n v="14383525286"/>
    <n v="1237886000"/>
    <n v="14.1830845"/>
    <n v="2.2999999999999998"/>
    <s v="http://www.sec.gov/cgi-bin/browse-edgar?action=getcompany&amp;CIK=ESS"/>
    <n v="14.4"/>
    <n v="1.2"/>
  </r>
  <r>
    <s v="EL"/>
    <s v="Estee Lauder Cos."/>
    <x v="8"/>
    <n v="131.46"/>
    <n v="37.78"/>
    <n v="1.1283498000000001"/>
    <n v="3.35"/>
    <n v="138.74"/>
    <n v="81.69"/>
    <n v="49543264457"/>
    <n v="2478000000"/>
    <n v="3.9522583"/>
    <n v="10.82"/>
    <s v="http://www.sec.gov/cgi-bin/browse-edgar?action=getcompany&amp;CIK=EL"/>
    <n v="49.5"/>
    <n v="2.5"/>
  </r>
  <r>
    <s v="RE"/>
    <s v="Everest Re Group Ltd."/>
    <x v="5"/>
    <n v="241.06"/>
    <n v="27.24"/>
    <n v="2.1078234"/>
    <n v="23.71"/>
    <n v="277.17"/>
    <n v="208.81"/>
    <n v="10131892523"/>
    <n v="0"/>
    <n v="2.0991987999999999"/>
    <n v="1.1599999999999999"/>
    <s v="http://www.sec.gov/cgi-bin/browse-edgar?action=getcompany&amp;CIK=RE"/>
    <n v="10.1"/>
    <n v="0"/>
  </r>
  <r>
    <s v="ES"/>
    <s v="Eversource Energy"/>
    <x v="4"/>
    <n v="56.11"/>
    <n v="18.22"/>
    <n v="3.3397784000000001"/>
    <n v="2.96"/>
    <n v="66.150000000000006"/>
    <n v="55.2"/>
    <n v="18027633617"/>
    <n v="2738713000"/>
    <n v="3.1134192999999999"/>
    <n v="1.68"/>
    <s v="http://www.sec.gov/cgi-bin/browse-edgar?action=getcompany&amp;CIK=ES"/>
    <n v="18"/>
    <n v="2.7"/>
  </r>
  <r>
    <s v="EXC"/>
    <s v="Exelon Corp."/>
    <x v="4"/>
    <n v="35.979999999999997"/>
    <n v="14.51"/>
    <n v="3.8174274000000001"/>
    <n v="1.23"/>
    <n v="42.67"/>
    <n v="33.299999999999997"/>
    <n v="34734816899"/>
    <n v="8548000000"/>
    <n v="1.3933871"/>
    <n v="1.26"/>
    <s v="http://www.sec.gov/cgi-bin/browse-edgar?action=getcompany&amp;CIK=EXC"/>
    <n v="34.700000000000003"/>
    <n v="8.5"/>
  </r>
  <r>
    <s v="EXPE"/>
    <s v="Expedia Inc."/>
    <x v="3"/>
    <n v="123.03"/>
    <n v="30.99"/>
    <n v="0.92785894999999996"/>
    <n v="1.81"/>
    <n v="161"/>
    <n v="115.55"/>
    <n v="19722178609"/>
    <n v="1481458000"/>
    <n v="2.5074896999999998"/>
    <n v="4.1399999999999997"/>
    <s v="http://www.sec.gov/cgi-bin/browse-edgar?action=getcompany&amp;CIK=EXPE"/>
    <n v="19.7"/>
    <n v="1.5"/>
  </r>
  <r>
    <s v="EXPD"/>
    <s v="Expeditors International"/>
    <x v="0"/>
    <n v="60.36"/>
    <n v="25.26"/>
    <n v="1.3520038000000001"/>
    <n v="2.36"/>
    <n v="67.540000000000006"/>
    <n v="51.96"/>
    <n v="11040678071"/>
    <n v="721643000"/>
    <n v="2.1903190000000001"/>
    <n v="5.55"/>
    <s v="http://www.sec.gov/cgi-bin/browse-edgar?action=getcompany&amp;CIK=EXPD"/>
    <n v="11"/>
    <n v="0.7"/>
  </r>
  <r>
    <s v="ESRX"/>
    <s v="Express Scripts"/>
    <x v="1"/>
    <n v="73.349999999999994"/>
    <n v="10.72"/>
    <n v="0"/>
    <n v="5.39"/>
    <n v="83.484999999999999"/>
    <n v="55.8"/>
    <n v="42449656350"/>
    <n v="7309300000"/>
    <n v="0.57588415999999998"/>
    <n v="2.65"/>
    <s v="http://www.sec.gov/cgi-bin/browse-edgar?action=getcompany&amp;CIK=ESRX"/>
    <n v="42.4"/>
    <n v="7.3"/>
  </r>
  <r>
    <s v="EXR"/>
    <s v="Extra Space Storage"/>
    <x v="7"/>
    <n v="77.56"/>
    <n v="18.12"/>
    <n v="3.879632"/>
    <n v="2.92"/>
    <n v="88.56"/>
    <n v="71.34"/>
    <n v="10133547517"/>
    <n v="717468000"/>
    <n v="12.204818"/>
    <n v="4.54"/>
    <s v="http://www.sec.gov/cgi-bin/browse-edgar?action=getcompany&amp;CIK=EXR"/>
    <n v="10.1"/>
    <n v="0.7"/>
  </r>
  <r>
    <s v="XOM"/>
    <s v="Exxon Mobil Corp."/>
    <x v="9"/>
    <n v="76.069999999999993"/>
    <n v="21.37"/>
    <n v="4.0031195000000004"/>
    <n v="1.88"/>
    <n v="89.3"/>
    <n v="76.05"/>
    <n v="326148660000"/>
    <n v="39052000000"/>
    <n v="1.7701944000000001"/>
    <n v="1.85"/>
    <s v="http://www.sec.gov/cgi-bin/browse-edgar?action=getcompany&amp;CIK=XOM"/>
    <n v="326.10000000000002"/>
    <n v="39.1"/>
  </r>
  <r>
    <s v="FFIV"/>
    <s v="F5 Networks"/>
    <x v="2"/>
    <n v="137.25"/>
    <n v="21.21"/>
    <n v="0"/>
    <n v="6.51"/>
    <n v="149.5"/>
    <n v="114.63"/>
    <n v="8744185796"/>
    <n v="629940000"/>
    <n v="4.1203604"/>
    <n v="6.86"/>
    <s v="http://www.sec.gov/cgi-bin/browse-edgar?action=getcompany&amp;CIK=FFIV"/>
    <n v="8.6999999999999993"/>
    <n v="0.6"/>
  </r>
  <r>
    <s v="FB"/>
    <s v="Facebook, Inc."/>
    <x v="2"/>
    <n v="171.58"/>
    <n v="27.9"/>
    <n v="0"/>
    <n v="5.39"/>
    <n v="195.32"/>
    <n v="132.44"/>
    <n v="523423036576"/>
    <n v="23624000000"/>
    <n v="13.241967000000001"/>
    <n v="7.08"/>
    <s v="http://www.sec.gov/cgi-bin/browse-edgar?action=getcompany&amp;CIK=FB"/>
    <n v="523.4"/>
    <n v="23.6"/>
  </r>
  <r>
    <s v="FAST"/>
    <s v="Fastenal Co"/>
    <x v="0"/>
    <n v="52.15"/>
    <n v="27.02"/>
    <n v="2.7798647999999999"/>
    <n v="2.0099999999999998"/>
    <n v="57.814999999999998"/>
    <n v="39.79"/>
    <n v="15311373377"/>
    <n v="1009600000"/>
    <n v="3.4729770000000002"/>
    <n v="7.39"/>
    <s v="http://www.sec.gov/cgi-bin/browse-edgar?action=getcompany&amp;CIK=FAST"/>
    <n v="15.3"/>
    <n v="1"/>
  </r>
  <r>
    <s v="FRT"/>
    <s v="Federal Realty Investment Trust"/>
    <x v="7"/>
    <n v="108.11"/>
    <n v="18.350000000000001"/>
    <n v="3.5925992"/>
    <n v="3.5"/>
    <n v="143.79"/>
    <n v="109.74"/>
    <n v="8077368506"/>
    <n v="540767000"/>
    <n v="12.898600999999999"/>
    <n v="3.98"/>
    <s v="http://www.sec.gov/cgi-bin/browse-edgar?action=getcompany&amp;CIK=FRT"/>
    <n v="8.1"/>
    <n v="0.5"/>
  </r>
  <r>
    <s v="FDX"/>
    <s v="FedEx Corporation"/>
    <x v="0"/>
    <n v="239.27"/>
    <n v="19.45"/>
    <n v="0.79633679999999996"/>
    <n v="11.07"/>
    <n v="274.66000000000003"/>
    <n v="182.89"/>
    <n v="67280478816"/>
    <n v="8062000000"/>
    <n v="1.0751683999999999"/>
    <n v="3.9"/>
    <s v="http://www.sec.gov/cgi-bin/browse-edgar?action=getcompany&amp;CIK=FDX"/>
    <n v="67.3"/>
    <n v="8.1"/>
  </r>
  <r>
    <s v="FIS"/>
    <s v="Fidelity National Information Services"/>
    <x v="2"/>
    <n v="92.74"/>
    <n v="22.08"/>
    <n v="1.322724"/>
    <n v="1.72"/>
    <n v="103.65"/>
    <n v="77.63"/>
    <n v="32308459680"/>
    <n v="2782000000"/>
    <n v="4.7038416999999999"/>
    <n v="3.25"/>
    <s v="http://www.sec.gov/cgi-bin/browse-edgar?action=getcompany&amp;CIK=FIS"/>
    <n v="32.299999999999997"/>
    <n v="2.8"/>
  </r>
  <r>
    <s v="FITB"/>
    <s v="Fifth Third Bancorp"/>
    <x v="5"/>
    <n v="31.1"/>
    <n v="16.899999999999999"/>
    <n v="1.9789734000000001"/>
    <n v="2.85"/>
    <n v="33.909999999999997"/>
    <n v="23.2"/>
    <n v="22437653700"/>
    <n v="0"/>
    <n v="2.8802848000000001"/>
    <n v="1.46"/>
    <s v="http://www.sec.gov/cgi-bin/browse-edgar?action=getcompany&amp;CIK=FITB"/>
    <n v="22.4"/>
    <n v="0"/>
  </r>
  <r>
    <s v="FE"/>
    <s v="FirstEnergy Corp"/>
    <x v="4"/>
    <n v="30.64"/>
    <n v="11.18"/>
    <n v="4.673807"/>
    <n v="-14.49"/>
    <n v="35.22"/>
    <n v="27.93"/>
    <n v="13706075072"/>
    <n v="-5067000000"/>
    <n v="1.2994481"/>
    <n v="2.19"/>
    <s v="http://www.sec.gov/cgi-bin/browse-edgar?action=getcompany&amp;CIK=FE"/>
    <n v="13.7"/>
    <n v="-5.0999999999999996"/>
  </r>
  <r>
    <s v="FISV"/>
    <s v="Fiserv Inc"/>
    <x v="2"/>
    <n v="133.05000000000001"/>
    <n v="27.32"/>
    <n v="0"/>
    <n v="4.1399999999999997"/>
    <n v="144.19999999999999"/>
    <n v="106.2"/>
    <n v="26918949723"/>
    <n v="1911000000"/>
    <n v="6.518713"/>
    <n v="11.54"/>
    <s v="http://www.sec.gov/cgi-bin/browse-edgar?action=getcompany&amp;CIK=FISV"/>
    <n v="26.9"/>
    <n v="1.9"/>
  </r>
  <r>
    <s v="FLIR"/>
    <s v="FLIR Systems"/>
    <x v="2"/>
    <n v="46.46"/>
    <n v="25.53"/>
    <n v="1.2396693999999999"/>
    <n v="1.21"/>
    <n v="52.88"/>
    <n v="33.75"/>
    <n v="6706992926"/>
    <n v="375267000"/>
    <n v="5.1379609999999998"/>
    <n v="3.52"/>
    <s v="http://www.sec.gov/cgi-bin/browse-edgar?action=getcompany&amp;CIK=FLIR"/>
    <n v="6.7"/>
    <n v="0.4"/>
  </r>
  <r>
    <s v="FLS"/>
    <s v="Flowserve Corporation"/>
    <x v="0"/>
    <n v="40.82"/>
    <n v="26.17"/>
    <n v="1.8291215999999999"/>
    <n v="1.1200000000000001"/>
    <n v="51.92"/>
    <n v="37.51"/>
    <n v="5427884956"/>
    <n v="463066000"/>
    <n v="2.0803037"/>
    <n v="3.15"/>
    <s v="http://www.sec.gov/cgi-bin/browse-edgar?action=getcompany&amp;CIK=FLS"/>
    <n v="5.4"/>
    <n v="0.5"/>
  </r>
  <r>
    <s v="FLR"/>
    <s v="Fluor Corp."/>
    <x v="0"/>
    <n v="55.31"/>
    <n v="19.899999999999999"/>
    <n v="1.4726508"/>
    <n v="1.99"/>
    <n v="62.09"/>
    <n v="37.0351"/>
    <n v="7978485059"/>
    <n v="709756000"/>
    <n v="0.55164020000000002"/>
    <n v="2.4"/>
    <s v="http://www.sec.gov/cgi-bin/browse-edgar?action=getcompany&amp;CIK=FLR"/>
    <n v="8"/>
    <n v="0.7"/>
  </r>
  <r>
    <s v="FMC"/>
    <s v="FMC Corporation"/>
    <x v="6"/>
    <n v="80.87"/>
    <n v="32.479999999999997"/>
    <n v="0.785995"/>
    <n v="1.56"/>
    <n v="98.7"/>
    <n v="56.53"/>
    <n v="11273961835"/>
    <n v="557800000"/>
    <n v="6.0089034999999997"/>
    <n v="5.26"/>
    <s v="http://www.sec.gov/cgi-bin/browse-edgar?action=getcompany&amp;CIK=FMC"/>
    <n v="11.3"/>
    <n v="0.6"/>
  </r>
  <r>
    <s v="FL"/>
    <s v="Foot Locker Inc"/>
    <x v="3"/>
    <n v="45.88"/>
    <n v="9.5"/>
    <n v="2.5827950999999998"/>
    <n v="4.91"/>
    <n v="77.86"/>
    <n v="28.42"/>
    <n v="5819080328"/>
    <n v="957000000"/>
    <n v="1.0362948000000001"/>
    <m/>
    <s v="http://www.sec.gov/cgi-bin/browse-edgar?action=getcompany&amp;CIK=FL"/>
    <n v="5.8"/>
    <n v="1"/>
  </r>
  <r>
    <s v="F"/>
    <s v="Ford Motor"/>
    <x v="3"/>
    <n v="10.43"/>
    <n v="5.89"/>
    <n v="6.7843866000000004"/>
    <n v="1.9"/>
    <n v="13.48"/>
    <n v="10.19"/>
    <n v="42414328338"/>
    <n v="9281000000"/>
    <n v="0.27054095"/>
    <n v="1.26"/>
    <s v="http://www.sec.gov/cgi-bin/browse-edgar?action=getcompany&amp;CIK=F"/>
    <n v="42.4"/>
    <n v="9.3000000000000007"/>
  </r>
  <r>
    <s v="FTV"/>
    <s v="Fortive Corp"/>
    <x v="0"/>
    <n v="69.14"/>
    <n v="25.05"/>
    <n v="0.39057051999999998"/>
    <n v="2.46"/>
    <n v="76.680000000000007"/>
    <n v="54.884399999999999"/>
    <n v="24916503061"/>
    <n v="1508300000"/>
    <n v="5.1682673000000001"/>
    <n v="7.17"/>
    <s v="http://www.sec.gov/cgi-bin/browse-edgar?action=getcompany&amp;CIK=FTV"/>
    <n v="24.9"/>
    <n v="1.5"/>
  </r>
  <r>
    <s v="FBHS"/>
    <s v="Fortune Brands Home &amp; Security"/>
    <x v="0"/>
    <n v="62.44"/>
    <n v="20.27"/>
    <n v="1.2618296"/>
    <n v="3.04"/>
    <n v="73.62"/>
    <n v="55.25"/>
    <n v="9624169008"/>
    <n v="814500000"/>
    <n v="1.8434572"/>
    <n v="3.76"/>
    <s v="http://www.sec.gov/cgi-bin/browse-edgar?action=getcompany&amp;CIK=FBHS"/>
    <n v="9.6"/>
    <n v="0.8"/>
  </r>
  <r>
    <s v="BEN"/>
    <s v="Franklin Resources"/>
    <x v="5"/>
    <n v="38"/>
    <n v="12.67"/>
    <n v="2.3326570000000002"/>
    <n v="3"/>
    <n v="47.65"/>
    <n v="37.01"/>
    <n v="21759187973"/>
    <n v="2711300000"/>
    <n v="3.3991009999999999"/>
    <n v="1.83"/>
    <s v="http://www.sec.gov/cgi-bin/browse-edgar?action=getcompany&amp;CIK=BEN"/>
    <n v="21.8"/>
    <n v="2.7"/>
  </r>
  <r>
    <s v="FCX"/>
    <s v="Freeport-McMoRan Inc."/>
    <x v="6"/>
    <n v="17.16"/>
    <n v="14.67"/>
    <n v="1.1198208000000001"/>
    <n v="1.24"/>
    <n v="20.25"/>
    <n v="11.05"/>
    <n v="25853969330"/>
    <n v="5347000000"/>
    <n v="1.6538345000000001"/>
    <n v="3.66"/>
    <s v="http://www.sec.gov/cgi-bin/browse-edgar?action=getcompany&amp;CIK=FCX"/>
    <n v="25.9"/>
    <n v="5.3"/>
  </r>
  <r>
    <s v="GPS"/>
    <s v="Gap Inc."/>
    <x v="3"/>
    <n v="31.17"/>
    <n v="15.35"/>
    <n v="2.8203556999999999"/>
    <n v="1.69"/>
    <n v="35.68"/>
    <n v="21.02"/>
    <n v="12684517721"/>
    <n v="1959000000"/>
    <n v="1.1289738"/>
    <n v="3.93"/>
    <s v="http://www.sec.gov/cgi-bin/browse-edgar?action=getcompany&amp;CIK=GPS"/>
    <n v="12.7"/>
    <n v="2"/>
  </r>
  <r>
    <s v="GRMN"/>
    <s v="Garmin Ltd."/>
    <x v="3"/>
    <n v="61.13"/>
    <n v="21.23"/>
    <n v="3.2339885000000002"/>
    <n v="2.69"/>
    <n v="64.959999999999994"/>
    <n v="48.5"/>
    <n v="11840331607"/>
    <n v="736798000"/>
    <n v="5.3198809999999996"/>
    <n v="3.14"/>
    <s v="http://www.sec.gov/cgi-bin/browse-edgar?action=getcompany&amp;CIK=GRMN"/>
    <n v="11.8"/>
    <n v="0.7"/>
  </r>
  <r>
    <s v="IT"/>
    <s v="Gartner Inc"/>
    <x v="2"/>
    <n v="114.26"/>
    <n v="36.86"/>
    <n v="0"/>
    <n v="2.31"/>
    <n v="142.16"/>
    <n v="97.96"/>
    <n v="10828314389"/>
    <n v="234935000"/>
    <n v="4.8944989999999997"/>
    <n v="13.47"/>
    <s v="http://www.sec.gov/cgi-bin/browse-edgar?action=getcompany&amp;CIK=IT"/>
    <n v="10.8"/>
    <n v="0.2"/>
  </r>
  <r>
    <s v="GD"/>
    <s v="General Dynamics"/>
    <x v="0"/>
    <n v="206.05"/>
    <n v="20.71"/>
    <n v="1.5631542"/>
    <n v="9.5500000000000007"/>
    <n v="229.54"/>
    <n v="181.94"/>
    <n v="64180390701"/>
    <n v="4618000000"/>
    <n v="2.0481362000000001"/>
    <n v="5.45"/>
    <s v="http://www.sec.gov/cgi-bin/browse-edgar?action=getcompany&amp;CIK=GD"/>
    <n v="64.2"/>
    <n v="4.5999999999999996"/>
  </r>
  <r>
    <s v="GE"/>
    <s v="General Electric"/>
    <x v="0"/>
    <n v="14.45"/>
    <n v="13.76"/>
    <n v="3.1475409999999999"/>
    <n v="-0.72"/>
    <n v="30.59"/>
    <n v="14.71"/>
    <n v="132249296250"/>
    <n v="-206000000"/>
    <n v="1.0887610999999999"/>
    <n v="1.7"/>
    <s v="http://www.sec.gov/cgi-bin/browse-edgar?action=getcompany&amp;CIK=GE"/>
    <n v="132.19999999999999"/>
    <n v="-0.2"/>
  </r>
  <r>
    <s v="GGP"/>
    <s v="General Growth Properties Inc."/>
    <x v="7"/>
    <n v="21.62"/>
    <n v="13.86"/>
    <n v="4.0054619999999996"/>
    <n v="1.34"/>
    <n v="25.72"/>
    <n v="18.829999999999998"/>
    <n v="21018887283"/>
    <n v="1740540000"/>
    <n v="17.003776999999999"/>
    <n v="2.57"/>
    <s v="http://www.sec.gov/cgi-bin/browse-edgar?action=getcompany&amp;CIK=GGP"/>
    <n v="21"/>
    <n v="1.7"/>
  </r>
  <r>
    <s v="GIS"/>
    <s v="General Mills"/>
    <x v="8"/>
    <n v="53.99"/>
    <n v="17.53"/>
    <n v="3.5864593999999999"/>
    <n v="2.77"/>
    <n v="63.73"/>
    <n v="49.65"/>
    <n v="31098243069"/>
    <n v="3107600000"/>
    <n v="2.0389178000000001"/>
    <n v="7.26"/>
    <s v="http://www.sec.gov/cgi-bin/browse-edgar?action=getcompany&amp;CIK=GIS"/>
    <n v="31.1"/>
    <n v="3.1"/>
  </r>
  <r>
    <s v="GM"/>
    <s v="General Motors"/>
    <x v="3"/>
    <n v="40.75"/>
    <n v="6.58"/>
    <n v="3.5857513000000001"/>
    <n v="6"/>
    <n v="46.76"/>
    <n v="31.92"/>
    <n v="61536606173"/>
    <n v="23541000000"/>
    <n v="0.56332179999999998"/>
    <n v="1.33"/>
    <s v="http://www.sec.gov/cgi-bin/browse-edgar?action=getcompany&amp;CIK=GM"/>
    <n v="61.5"/>
    <n v="23.5"/>
  </r>
  <r>
    <s v="GPC"/>
    <s v="Genuine Parts"/>
    <x v="3"/>
    <n v="96.31"/>
    <n v="21.17"/>
    <n v="2.7198547999999998"/>
    <n v="4.5999999999999996"/>
    <n v="107.75"/>
    <n v="79.86"/>
    <n v="14554321748"/>
    <n v="1201517000"/>
    <n v="1.2122360000000001"/>
    <n v="4.33"/>
    <s v="http://www.sec.gov/cgi-bin/browse-edgar?action=getcompany&amp;CIK=GPC"/>
    <n v="14.6"/>
    <n v="1.2"/>
  </r>
  <r>
    <s v="GILD"/>
    <s v="Gilead Sciences"/>
    <x v="1"/>
    <n v="78.22"/>
    <n v="8.16"/>
    <n v="2.7549540000000001"/>
    <n v="9.9499999999999993"/>
    <n v="89.54"/>
    <n v="63.759"/>
    <n v="108106822109"/>
    <n v="17590000000"/>
    <n v="5.2087463999999999"/>
    <n v="4.12"/>
    <s v="http://www.sec.gov/cgi-bin/browse-edgar?action=getcompany&amp;CIK=GILD"/>
    <n v="108.1"/>
    <n v="17.600000000000001"/>
  </r>
  <r>
    <s v="GPN"/>
    <s v="Global Payments Inc."/>
    <x v="2"/>
    <n v="100.59"/>
    <n v="27.86"/>
    <n v="3.7622272999999998E-2"/>
    <n v="1.58"/>
    <n v="113.26"/>
    <n v="76.47"/>
    <n v="16920023264"/>
    <n v="960345000"/>
    <n v="5.7758330000000004"/>
    <n v="4.7300000000000004"/>
    <s v="http://www.sec.gov/cgi-bin/browse-edgar?action=getcompany&amp;CIK=GPN"/>
    <n v="16.899999999999999"/>
    <n v="1"/>
  </r>
  <r>
    <s v="GS"/>
    <s v="Goldman Sachs Group"/>
    <x v="5"/>
    <n v="246.35"/>
    <n v="12.44"/>
    <n v="1.1668612"/>
    <n v="8.61"/>
    <n v="273.79000000000002"/>
    <n v="209.62"/>
    <n v="96978500251"/>
    <n v="0"/>
    <n v="2.309415"/>
    <n v="1.25"/>
    <s v="http://www.sec.gov/cgi-bin/browse-edgar?action=getcompany&amp;CIK=GS"/>
    <n v="97"/>
    <n v="0"/>
  </r>
  <r>
    <s v="GT"/>
    <s v="Goodyear Tire &amp; Rubber"/>
    <x v="3"/>
    <n v="30.75"/>
    <n v="9.92"/>
    <n v="1.6731402"/>
    <n v="4.74"/>
    <n v="37.200000000000003"/>
    <n v="28.81"/>
    <n v="8244568238"/>
    <n v="2044000000"/>
    <n v="0.72725976000000003"/>
    <n v="1.65"/>
    <s v="http://www.sec.gov/cgi-bin/browse-edgar?action=getcompany&amp;CIK=GT"/>
    <n v="8.1999999999999993"/>
    <n v="2"/>
  </r>
  <r>
    <s v="GWW"/>
    <s v="Grainger (W.W.) Inc."/>
    <x v="0"/>
    <n v="258.60000000000002"/>
    <n v="22.57"/>
    <n v="1.9700643"/>
    <n v="10.02"/>
    <n v="298.14499999999998"/>
    <n v="155"/>
    <n v="14639308205"/>
    <n v="1279846000"/>
    <n v="1.3995146000000001"/>
    <n v="8.1"/>
    <s v="http://www.sec.gov/cgi-bin/browse-edgar?action=getcompany&amp;CIK=GWW"/>
    <n v="14.6"/>
    <n v="1.3"/>
  </r>
  <r>
    <s v="HAL"/>
    <s v="Halliburton Co."/>
    <x v="9"/>
    <n v="47.41"/>
    <n v="38.86"/>
    <n v="1.4489837000000001"/>
    <n v="-0.53"/>
    <n v="57.86"/>
    <n v="38.180999999999997"/>
    <n v="43356557470"/>
    <n v="2910000000"/>
    <n v="2.1424224000000001"/>
    <n v="4.74"/>
    <s v="http://www.sec.gov/cgi-bin/browse-edgar?action=getcompany&amp;CIK=HAL"/>
    <n v="43.4"/>
    <n v="2.9"/>
  </r>
  <r>
    <s v="HBI"/>
    <s v="Hanesbrands Inc"/>
    <x v="3"/>
    <n v="19.57"/>
    <n v="10.039999999999999"/>
    <n v="2.7322403999999998"/>
    <n v="1.41"/>
    <n v="25.73"/>
    <n v="18.899999999999999"/>
    <n v="8006268615"/>
    <n v="926153000"/>
    <n v="1.6339767999999999"/>
    <n v="6.17"/>
    <s v="http://www.sec.gov/cgi-bin/browse-edgar?action=getcompany&amp;CIK=HBI"/>
    <n v="8"/>
    <n v="0.9"/>
  </r>
  <r>
    <s v="HOG"/>
    <s v="Harley-Davidson"/>
    <x v="3"/>
    <n v="47.54"/>
    <n v="13.7"/>
    <n v="3.0218647000000001"/>
    <n v="2.98"/>
    <n v="63.4"/>
    <n v="44.52"/>
    <n v="8158949890"/>
    <n v="1058817000"/>
    <n v="1.66195"/>
    <n v="4.3099999999999996"/>
    <s v="http://www.sec.gov/cgi-bin/browse-edgar?action=getcompany&amp;CIK=HOG"/>
    <n v="8.1999999999999993"/>
    <n v="1.1000000000000001"/>
  </r>
  <r>
    <s v="HRS"/>
    <s v="Harris Corporation"/>
    <x v="2"/>
    <n v="149.84"/>
    <n v="26.38"/>
    <n v="1.4922442"/>
    <n v="4.43"/>
    <n v="160.66999999999999"/>
    <n v="104.16"/>
    <n v="18140726600"/>
    <n v="1368000000"/>
    <n v="2.9516637000000001"/>
    <n v="5.88"/>
    <s v="http://www.sec.gov/cgi-bin/browse-edgar?action=getcompany&amp;CIK=HRS"/>
    <n v="18.100000000000001"/>
    <n v="1.4"/>
  </r>
  <r>
    <s v="HIG"/>
    <s v="Hartford Financial Svc.Gp."/>
    <x v="5"/>
    <n v="53.34"/>
    <n v="14.34"/>
    <n v="1.7901897"/>
    <n v="2.27"/>
    <n v="59.2"/>
    <n v="46.35"/>
    <n v="19926305632"/>
    <n v="0"/>
    <n v="1.3939538"/>
    <n v="1.1499999999999999"/>
    <s v="http://www.sec.gov/cgi-bin/browse-edgar?action=getcompany&amp;CIK=HIG"/>
    <n v="19.899999999999999"/>
    <n v="0"/>
  </r>
  <r>
    <s v="HAS"/>
    <s v="Hasbro Inc."/>
    <x v="3"/>
    <n v="96.48"/>
    <n v="20.57"/>
    <n v="2.2304832999999999"/>
    <n v="4.34"/>
    <n v="116.2"/>
    <n v="87.92"/>
    <n v="12732072001"/>
    <n v="1028425000"/>
    <n v="3.2375680999999998"/>
    <n v="5.82"/>
    <s v="http://www.sec.gov/cgi-bin/browse-edgar?action=getcompany&amp;CIK=HAS"/>
    <n v="12.7"/>
    <n v="1"/>
  </r>
  <r>
    <s v="HCA"/>
    <s v="HCA Holdings"/>
    <x v="1"/>
    <n v="95.97"/>
    <n v="14.07"/>
    <n v="1.4227642"/>
    <n v="5.94"/>
    <n v="106.84"/>
    <n v="71.180000000000007"/>
    <n v="34449052800"/>
    <n v="8202000000"/>
    <n v="0.72519210000000001"/>
    <m/>
    <s v="http://www.sec.gov/cgi-bin/browse-edgar?action=getcompany&amp;CIK=HCA"/>
    <n v="34.4"/>
    <n v="8.1999999999999993"/>
  </r>
  <r>
    <s v="HCP"/>
    <s v="HCP Inc."/>
    <x v="7"/>
    <n v="22.64"/>
    <n v="10.99"/>
    <n v="6.3301970000000001"/>
    <n v="1.33"/>
    <n v="33.67"/>
    <n v="22.8"/>
    <n v="10967755538"/>
    <n v="1412684000"/>
    <n v="8.1271090000000008"/>
    <n v="1.97"/>
    <s v="http://www.sec.gov/cgi-bin/browse-edgar?action=getcompany&amp;CIK=HCP"/>
    <n v="11"/>
    <n v="1.4"/>
  </r>
  <r>
    <s v="HP"/>
    <s v="Helmerich &amp; Payne"/>
    <x v="9"/>
    <n v="64.87"/>
    <n v="-54.51"/>
    <n v="4.1499924999999998"/>
    <n v="-1.2"/>
    <n v="75.02"/>
    <n v="42.16"/>
    <n v="7345243806"/>
    <n v="483673000"/>
    <n v="3.7385861999999999"/>
    <n v="1.62"/>
    <s v="http://www.sec.gov/cgi-bin/browse-edgar?action=getcompany&amp;CIK=HP"/>
    <n v="7.3"/>
    <n v="0.5"/>
  </r>
  <r>
    <s v="HSIC"/>
    <s v="Henry Schein"/>
    <x v="1"/>
    <n v="70.849999999999994"/>
    <n v="19.850000000000001"/>
    <n v="0"/>
    <n v="3.1"/>
    <n v="93.495000000000005"/>
    <n v="65.28"/>
    <n v="11452961984"/>
    <n v="1033985000"/>
    <n v="1.262194"/>
    <n v="3.74"/>
    <s v="http://www.sec.gov/cgi-bin/browse-edgar?action=getcompany&amp;CIK=HSIC"/>
    <n v="11.5"/>
    <n v="1"/>
  </r>
  <r>
    <s v="HES"/>
    <s v="Hess Corporation"/>
    <x v="9"/>
    <n v="43"/>
    <n v="-9.33"/>
    <n v="2.2670596000000001"/>
    <n v="-19.940000000000001"/>
    <n v="55.48"/>
    <n v="37.25"/>
    <n v="14016129999"/>
    <n v="-819000000"/>
    <n v="3.780475"/>
    <n v="1.08"/>
    <s v="http://www.sec.gov/cgi-bin/browse-edgar?action=getcompany&amp;CIK=HES"/>
    <n v="14"/>
    <n v="-0.8"/>
  </r>
  <r>
    <s v="HPE"/>
    <s v="Hewlett Packard Enterprise"/>
    <x v="2"/>
    <n v="15.04"/>
    <n v="11.57"/>
    <n v="1.9280206"/>
    <n v="0.21"/>
    <n v="24.88"/>
    <n v="12.815"/>
    <n v="24800859640"/>
    <n v="3683000000"/>
    <n v="1.4609766"/>
    <n v="1.06"/>
    <s v="http://www.sec.gov/cgi-bin/browse-edgar?action=getcompany&amp;CIK=HPE"/>
    <n v="24.8"/>
    <n v="3.7"/>
  </r>
  <r>
    <s v="HLT"/>
    <s v="Hilton Worldwide Holdings Inc"/>
    <x v="3"/>
    <n v="78.66"/>
    <n v="36.42"/>
    <n v="0.73152890000000004"/>
    <n v="1.05"/>
    <n v="88.11"/>
    <n v="55.79"/>
    <n v="26242415796"/>
    <n v="2815000000"/>
    <n v="3.7628452999999999"/>
    <n v="17.670000000000002"/>
    <s v="http://www.sec.gov/cgi-bin/browse-edgar?action=getcompany&amp;CIK=HLT"/>
    <n v="26.2"/>
    <n v="2.8"/>
  </r>
  <r>
    <s v="HOLX"/>
    <s v="Hologic"/>
    <x v="1"/>
    <n v="38.799999999999997"/>
    <n v="19.21"/>
    <n v="0"/>
    <n v="2.64"/>
    <n v="46.8"/>
    <n v="35.76"/>
    <n v="11181493750"/>
    <n v="1561000000"/>
    <n v="4.80335"/>
    <n v="4"/>
    <s v="http://www.sec.gov/cgi-bin/browse-edgar?action=getcompany&amp;CIK=HOLX"/>
    <n v="11.2"/>
    <n v="1.6"/>
  </r>
  <r>
    <s v="HD"/>
    <s v="Home Depot"/>
    <x v="3"/>
    <n v="181.22"/>
    <n v="28.1"/>
    <n v="1.8610487"/>
    <n v="6.46"/>
    <n v="207.60499999999999"/>
    <n v="136.82"/>
    <n v="223378633329"/>
    <n v="16513000000"/>
    <n v="2.8964398"/>
    <n v="84.08"/>
    <s v="http://www.sec.gov/cgi-bin/browse-edgar?action=getcompany&amp;CIK=HD"/>
    <n v="223.4"/>
    <n v="16.5"/>
  </r>
  <r>
    <s v="HON"/>
    <s v="Honeywell Int'l Inc."/>
    <x v="0"/>
    <n v="146.02000000000001"/>
    <n v="20.68"/>
    <n v="1.9710299"/>
    <n v="2.08"/>
    <n v="165.13"/>
    <n v="119.31"/>
    <n v="114422168609"/>
    <n v="8333000000"/>
    <n v="2.8267899000000001"/>
    <n v="5.71"/>
    <s v="http://www.sec.gov/cgi-bin/browse-edgar?action=getcompany&amp;CIK=HON"/>
    <n v="114.4"/>
    <n v="8.3000000000000007"/>
  </r>
  <r>
    <s v="HRL"/>
    <s v="Hormel Foods Corp."/>
    <x v="8"/>
    <n v="32.21"/>
    <n v="20.39"/>
    <n v="2.2907758"/>
    <n v="1.57"/>
    <n v="38"/>
    <n v="29.75"/>
    <n v="17338613096"/>
    <n v="1422305000"/>
    <n v="2.5174791999999999"/>
    <n v="3.49"/>
    <s v="http://www.sec.gov/cgi-bin/browse-edgar?action=getcompany&amp;CIK=HRL"/>
    <n v="17.3"/>
    <n v="1.4"/>
  </r>
  <r>
    <s v="HST"/>
    <s v="Host Hotels &amp; Resorts"/>
    <x v="7"/>
    <n v="18.75"/>
    <n v="11.23"/>
    <n v="4.1131105000000003"/>
    <n v="1.02"/>
    <n v="21.53"/>
    <n v="17.260000000000002"/>
    <n v="14394715334"/>
    <n v="1547000000"/>
    <n v="3.5549127999999999"/>
    <n v="2.02"/>
    <s v="http://www.sec.gov/cgi-bin/browse-edgar?action=getcompany&amp;CIK=HST"/>
    <n v="14.4"/>
    <n v="1.5"/>
  </r>
  <r>
    <s v="HPQ"/>
    <s v="HP Inc."/>
    <x v="2"/>
    <n v="19.920000000000002"/>
    <n v="12.07"/>
    <n v="2.6270628"/>
    <n v="1.49"/>
    <n v="24.1"/>
    <n v="15.39"/>
    <n v="34895294088"/>
    <n v="3700000000"/>
    <n v="0.89549029999999996"/>
    <n v="0.66"/>
    <s v="http://www.sec.gov/cgi-bin/browse-edgar?action=getcompany&amp;CIK=HPQ"/>
    <n v="34.9"/>
    <n v="3.7"/>
  </r>
  <r>
    <s v="HUM"/>
    <s v="Humana Inc."/>
    <x v="1"/>
    <n v="262.37"/>
    <n v="22.39"/>
    <n v="0.60400149999999997"/>
    <n v="4.0599999999999996"/>
    <n v="293.35000000000002"/>
    <n v="189.01"/>
    <n v="36973617235"/>
    <n v="0"/>
    <n v="0.92568950000000005"/>
    <n v="3.33"/>
    <s v="http://www.sec.gov/cgi-bin/browse-edgar?action=getcompany&amp;CIK=HUM"/>
    <n v="37"/>
    <n v="0"/>
  </r>
  <r>
    <s v="HBAN"/>
    <s v="Huntington Bancshares"/>
    <x v="5"/>
    <n v="15.1"/>
    <n v="15.41"/>
    <n v="2.8132991999999999"/>
    <n v="1"/>
    <n v="16.53"/>
    <n v="12.14"/>
    <n v="16766497291"/>
    <n v="0"/>
    <n v="3.5112101999999998"/>
    <n v="1.72"/>
    <s v="http://www.sec.gov/cgi-bin/browse-edgar?action=getcompany&amp;CIK=HBAN"/>
    <n v="16.8"/>
    <n v="0"/>
  </r>
  <r>
    <s v="HII"/>
    <s v="Huntington Ingalls Industries"/>
    <x v="0"/>
    <n v="225.37"/>
    <n v="18.75"/>
    <n v="1.2264713"/>
    <n v="12.15"/>
    <n v="253.44"/>
    <n v="183.42"/>
    <n v="10628247899"/>
    <n v="1107000000"/>
    <n v="1.8924941"/>
    <n v="6.04"/>
    <s v="http://www.sec.gov/cgi-bin/browse-edgar?action=getcompany&amp;CIK=HII"/>
    <n v="10.6"/>
    <n v="1.1000000000000001"/>
  </r>
  <r>
    <s v="IDXX"/>
    <s v="IDEXX Laboratories"/>
    <x v="1"/>
    <n v="169.28"/>
    <n v="53.57"/>
    <n v="0"/>
    <n v="2.94"/>
    <n v="198.73"/>
    <n v="140.63"/>
    <n v="15422885020"/>
    <n v="478307000"/>
    <n v="7.97525"/>
    <n v="196.21"/>
    <s v="http://www.sec.gov/cgi-bin/browse-edgar?action=getcompany&amp;CIK=IDXX"/>
    <n v="15.4"/>
    <n v="0.5"/>
  </r>
  <r>
    <s v="INFO"/>
    <s v="IHS Markit Ltd."/>
    <x v="0"/>
    <n v="43.73"/>
    <n v="26.19"/>
    <n v="0"/>
    <n v="1"/>
    <n v="49.19"/>
    <n v="37.82"/>
    <n v="17969275816"/>
    <n v="1018900000"/>
    <n v="5.0603999999999996"/>
    <n v="2.2400000000000002"/>
    <s v="http://www.sec.gov/cgi-bin/browse-edgar?action=getcompany&amp;CIK=INFO"/>
    <n v="18"/>
    <n v="1"/>
  </r>
  <r>
    <s v="ITW"/>
    <s v="Illinois Tool Works"/>
    <x v="0"/>
    <n v="156.15"/>
    <n v="23.62"/>
    <n v="1.9089574"/>
    <n v="4.8600000000000003"/>
    <n v="179.07"/>
    <n v="126.52"/>
    <n v="55994378108"/>
    <n v="3924000000"/>
    <n v="3.9286148999999999"/>
    <n v="10.99"/>
    <s v="http://www.sec.gov/cgi-bin/browse-edgar?action=getcompany&amp;CIK=ITW"/>
    <n v="56"/>
    <n v="3.9"/>
  </r>
  <r>
    <s v="ILMN"/>
    <s v="Illumina Inc"/>
    <x v="1"/>
    <n v="209.54"/>
    <n v="52.25"/>
    <n v="0"/>
    <n v="4.92"/>
    <n v="248.97"/>
    <n v="158.02029999999999"/>
    <n v="32295200000"/>
    <n v="1192000000"/>
    <n v="11.713953"/>
    <n v="10.89"/>
    <s v="http://www.sec.gov/cgi-bin/browse-edgar?action=getcompany&amp;CIK=ILMN"/>
    <n v="32.299999999999997"/>
    <n v="1.2"/>
  </r>
  <r>
    <s v="INCY"/>
    <s v="Incyte"/>
    <x v="1"/>
    <n v="83.92"/>
    <n v="-119.89"/>
    <n v="0"/>
    <n v="0.54"/>
    <n v="153.15"/>
    <n v="84.21"/>
    <n v="18220961259"/>
    <n v="-81686000"/>
    <n v="17.026990000000001"/>
    <n v="10.25"/>
    <s v="http://www.sec.gov/cgi-bin/browse-edgar?action=getcompany&amp;CIK=INCY"/>
    <n v="18.2"/>
    <n v="-0.1"/>
  </r>
  <r>
    <s v="IR"/>
    <s v="Ingersoll-Rand PLC"/>
    <x v="0"/>
    <n v="87.6"/>
    <n v="19.38"/>
    <n v="1.9739007"/>
    <n v="5.07"/>
    <n v="97.67"/>
    <n v="77.260000000000005"/>
    <n v="22785450609"/>
    <n v="1987100000"/>
    <n v="1.6147361"/>
    <n v="3.34"/>
    <s v="http://www.sec.gov/cgi-bin/browse-edgar?action=getcompany&amp;CIK=IR"/>
    <n v="22.8"/>
    <n v="2"/>
  </r>
  <r>
    <s v="INTC"/>
    <s v="Intel Corp."/>
    <x v="2"/>
    <n v="42.75"/>
    <n v="12.32"/>
    <n v="2.6548672"/>
    <n v="1.98"/>
    <n v="50.85"/>
    <n v="33.229999999999997"/>
    <n v="211536000000"/>
    <n v="26247000000"/>
    <n v="3.3488760000000002"/>
    <n v="3.34"/>
    <s v="http://www.sec.gov/cgi-bin/browse-edgar?action=getcompany&amp;CIK=INTC"/>
    <n v="211.5"/>
    <n v="26.2"/>
  </r>
  <r>
    <s v="ICE"/>
    <s v="Intercontinental Exchange"/>
    <x v="5"/>
    <n v="67"/>
    <n v="22.95"/>
    <n v="5.4298643999999996"/>
    <n v="2.37"/>
    <n v="76.137799999999999"/>
    <n v="56.8"/>
    <n v="41373051167"/>
    <n v="3103000000"/>
    <n v="9.6199870000000001"/>
    <n v="2.62"/>
    <s v="http://www.sec.gov/cgi-bin/browse-edgar?action=getcompany&amp;CIK=ICE"/>
    <n v="41.4"/>
    <n v="3.1"/>
  </r>
  <r>
    <s v="IBM"/>
    <s v="International Business Machines"/>
    <x v="2"/>
    <n v="147.59"/>
    <n v="10.67"/>
    <n v="3.8999025999999999"/>
    <n v="6.11"/>
    <n v="182.79"/>
    <n v="139.13"/>
    <n v="142433003505"/>
    <n v="16557000000"/>
    <n v="1.817167"/>
    <n v="7.7"/>
    <s v="http://www.sec.gov/cgi-bin/browse-edgar?action=getcompany&amp;CIK=IBM"/>
    <n v="142.4"/>
    <n v="16.600000000000001"/>
  </r>
  <r>
    <s v="IP"/>
    <s v="International Paper"/>
    <x v="6"/>
    <n v="56.05"/>
    <n v="15.57"/>
    <n v="3.2067510000000001"/>
    <n v="5.14"/>
    <n v="66.94"/>
    <n v="49.6"/>
    <n v="24465996443"/>
    <n v="3004000000"/>
    <n v="1.0738261"/>
    <n v="4.99"/>
    <s v="http://www.sec.gov/cgi-bin/browse-edgar?action=getcompany&amp;CIK=IP"/>
    <n v="24.5"/>
    <n v="3"/>
  </r>
  <r>
    <s v="IPG"/>
    <s v="Interpublic Group"/>
    <x v="3"/>
    <n v="21.34"/>
    <n v="15.46"/>
    <n v="3.3802816999999998"/>
    <n v="1.49"/>
    <n v="25.71"/>
    <n v="18.3"/>
    <n v="8277363031"/>
    <n v="1074900000"/>
    <n v="1.4712902999999999"/>
    <n v="4.01"/>
    <s v="http://www.sec.gov/cgi-bin/browse-edgar?action=getcompany&amp;CIK=IPG"/>
    <n v="8.3000000000000007"/>
    <n v="1.1000000000000001"/>
  </r>
  <r>
    <s v="IFF"/>
    <s v="Intl Flavors &amp; Fragrances"/>
    <x v="6"/>
    <n v="138"/>
    <n v="24.17"/>
    <n v="1.9341276000000001"/>
    <n v="5.05"/>
    <n v="157.4"/>
    <n v="116.3"/>
    <n v="11270040447"/>
    <n v="699963000"/>
    <n v="4.4208812999999996"/>
    <n v="6.34"/>
    <s v="http://www.sec.gov/cgi-bin/browse-edgar?action=getcompany&amp;CIK=IFF"/>
    <n v="11.3"/>
    <n v="0.7"/>
  </r>
  <r>
    <s v="INTU"/>
    <s v="Intuit Inc."/>
    <x v="2"/>
    <n v="152.75"/>
    <n v="40.520000000000003"/>
    <n v="0.96720194999999998"/>
    <n v="3.72"/>
    <n v="170.59"/>
    <n v="111.9"/>
    <n v="41233771565"/>
    <n v="1654000000"/>
    <n v="9.6337309999999992"/>
    <n v="33.5"/>
    <s v="http://www.sec.gov/cgi-bin/browse-edgar?action=getcompany&amp;CIK=INTU"/>
    <n v="41.2"/>
    <n v="1.7"/>
  </r>
  <r>
    <s v="ISRG"/>
    <s v="Intuitive Surgical Inc."/>
    <x v="1"/>
    <n v="381.87"/>
    <n v="48.58"/>
    <n v="0"/>
    <n v="5.67"/>
    <n v="452"/>
    <n v="233.10642999999999"/>
    <n v="44866621303"/>
    <n v="1153700000"/>
    <n v="14.655260999999999"/>
    <n v="9.48"/>
    <s v="http://www.sec.gov/cgi-bin/browse-edgar?action=getcompany&amp;CIK=ISRG"/>
    <n v="44.9"/>
    <n v="1.2"/>
  </r>
  <r>
    <s v="IVZ"/>
    <s v="Invesco Ltd."/>
    <x v="5"/>
    <n v="31.92"/>
    <n v="11.87"/>
    <n v="3.4668260000000002"/>
    <n v="2.74"/>
    <n v="38.43"/>
    <n v="29.36"/>
    <n v="13620847614"/>
    <n v="1606200000"/>
    <n v="2.6513786000000001"/>
    <n v="1.62"/>
    <s v="http://www.sec.gov/cgi-bin/browse-edgar?action=getcompany&amp;CIK=IVZ"/>
    <n v="13.6"/>
    <n v="1.6"/>
  </r>
  <r>
    <s v="IQV"/>
    <s v="IQVIA Holdings Inc."/>
    <x v="1"/>
    <n v="95.23"/>
    <n v="21.74"/>
    <n v="0"/>
    <n v="0.76"/>
    <n v="110.67"/>
    <n v="75.94"/>
    <n v="20426488713"/>
    <n v="1542000000"/>
    <n v="2.8477087000000001"/>
    <n v="2.77"/>
    <s v="http://www.sec.gov/cgi-bin/browse-edgar?action=getcompany&amp;CIK=IQV"/>
    <n v="20.399999999999999"/>
    <n v="1.5"/>
  </r>
  <r>
    <s v="IRM"/>
    <s v="Iron Mountain Incorporated"/>
    <x v="7"/>
    <n v="32.07"/>
    <n v="15.42"/>
    <n v="7.0825800000000001"/>
    <n v="0.46"/>
    <n v="41.53"/>
    <n v="32.049999999999997"/>
    <n v="9410249279"/>
    <n v="1116140000"/>
    <n v="3.2898626000000002"/>
    <n v="4.97"/>
    <s v="http://www.sec.gov/cgi-bin/browse-edgar?action=getcompany&amp;CIK=IRM"/>
    <n v="9.4"/>
    <n v="1.1000000000000001"/>
  </r>
  <r>
    <s v="JBHT"/>
    <s v="J. B. Hunt Transport Services"/>
    <x v="0"/>
    <n v="114.81"/>
    <n v="30.62"/>
    <n v="0.81390419999999997"/>
    <n v="6.19"/>
    <n v="126.49"/>
    <n v="83.35"/>
    <n v="12945366350"/>
    <n v="1007309000"/>
    <n v="1.7697402"/>
    <n v="8.5500000000000007"/>
    <s v="http://www.sec.gov/cgi-bin/browse-edgar?action=getcompany&amp;CIK=JBHT"/>
    <n v="12.9"/>
    <n v="1"/>
  </r>
  <r>
    <s v="JEC"/>
    <s v="Jacobs Engineering Group"/>
    <x v="0"/>
    <n v="62.82"/>
    <n v="19.45"/>
    <n v="0.90895320000000002"/>
    <n v="2.4300000000000002"/>
    <n v="72.180000000000007"/>
    <n v="49.31"/>
    <n v="9326484316"/>
    <n v="409832000"/>
    <n v="1.2129635999999999"/>
    <n v="2.0099999999999998"/>
    <s v="http://www.sec.gov/cgi-bin/browse-edgar?action=getcompany&amp;CIK=JEC"/>
    <n v="9.3000000000000007"/>
    <n v="0.4"/>
  </r>
  <r>
    <s v="SJM"/>
    <s v="JM Smucker"/>
    <x v="8"/>
    <n v="118.37"/>
    <n v="15.35"/>
    <n v="2.6036885000000001"/>
    <n v="5.0999999999999996"/>
    <n v="143.68"/>
    <n v="99.564999999999998"/>
    <n v="13612394896"/>
    <n v="1411300000"/>
    <n v="2.496677"/>
    <n v="1.88"/>
    <s v="http://www.sec.gov/cgi-bin/browse-edgar?action=getcompany&amp;CIK=SJM"/>
    <n v="13.6"/>
    <n v="1.4"/>
  </r>
  <r>
    <s v="JNJ"/>
    <s v="Johnson &amp; Johnson"/>
    <x v="1"/>
    <n v="126.36"/>
    <n v="17.309999999999999"/>
    <n v="2.5566884999999999"/>
    <n v="0.39"/>
    <n v="148.32"/>
    <n v="113.15"/>
    <n v="353062464971"/>
    <n v="22430000000"/>
    <n v="4.6326222000000001"/>
    <n v="4.74"/>
    <s v="http://www.sec.gov/cgi-bin/browse-edgar?action=getcompany&amp;CIK=JNJ"/>
    <n v="353.1"/>
    <n v="22.4"/>
  </r>
  <r>
    <s v="JCI"/>
    <s v="Johnson Controls International"/>
    <x v="0"/>
    <n v="36.549999999999997"/>
    <n v="14"/>
    <n v="2.7659574"/>
    <n v="1.71"/>
    <n v="44.37"/>
    <n v="34.51"/>
    <n v="34822224800"/>
    <n v="4295000000"/>
    <n v="1.1415336"/>
    <n v="1.69"/>
    <s v="http://www.sec.gov/cgi-bin/browse-edgar?action=getcompany&amp;CIK=JCI"/>
    <n v="34.799999999999997"/>
    <n v="4.3"/>
  </r>
  <r>
    <s v="JPM"/>
    <s v="JPMorgan Chase &amp; Co."/>
    <x v="5"/>
    <n v="107.88"/>
    <n v="15.43"/>
    <n v="1.9845841"/>
    <n v="6.3"/>
    <n v="117.35290000000001"/>
    <n v="81.635000000000005"/>
    <n v="386613611000"/>
    <n v="0"/>
    <n v="3.3714993"/>
    <n v="1.6"/>
    <s v="http://www.sec.gov/cgi-bin/browse-edgar?action=getcompany&amp;CIK=JPM"/>
    <n v="386.6"/>
    <n v="0"/>
  </r>
  <r>
    <s v="JNPR"/>
    <s v="Juniper Networks"/>
    <x v="2"/>
    <n v="24.66"/>
    <n v="14.09"/>
    <n v="1.5754234"/>
    <n v="0.78"/>
    <n v="30.96"/>
    <n v="23.87"/>
    <n v="9267350000"/>
    <n v="1115500000"/>
    <n v="1.8543326"/>
    <n v="1.78"/>
    <s v="http://www.sec.gov/cgi-bin/browse-edgar?action=getcompany&amp;CIK=JNPR"/>
    <n v="9.3000000000000007"/>
    <n v="1.1000000000000001"/>
  </r>
  <r>
    <s v="KSU"/>
    <s v="Kansas City Southern"/>
    <x v="0"/>
    <n v="103.53"/>
    <n v="19.8"/>
    <n v="1.3445379"/>
    <n v="9.16"/>
    <n v="114.85"/>
    <n v="81.540000000000006"/>
    <n v="11037040988"/>
    <n v="1295400000"/>
    <n v="4.2818969999999998"/>
    <n v="2.39"/>
    <s v="http://www.sec.gov/cgi-bin/browse-edgar?action=getcompany&amp;CIK=KSU"/>
    <n v="11"/>
    <n v="1.3"/>
  </r>
  <r>
    <s v="K"/>
    <s v="Kellogg Co."/>
    <x v="8"/>
    <n v="65.98"/>
    <n v="16.5"/>
    <n v="3.3639619999999999"/>
    <n v="1.95"/>
    <n v="76.69"/>
    <n v="58.76"/>
    <n v="22182794875"/>
    <n v="1827000000"/>
    <n v="2.3173764000000001"/>
    <n v="11.5"/>
    <s v="http://www.sec.gov/cgi-bin/browse-edgar?action=getcompany&amp;CIK=K"/>
    <n v="22.2"/>
    <n v="1.8"/>
  </r>
  <r>
    <s v="KEY"/>
    <s v="KeyCorp"/>
    <x v="5"/>
    <n v="20.079999999999998"/>
    <n v="14.66"/>
    <n v="1.9876952000000001"/>
    <n v="1.1200000000000001"/>
    <n v="22.22"/>
    <n v="16.28"/>
    <n v="22589744920"/>
    <n v="0"/>
    <n v="3.270451"/>
    <n v="1.55"/>
    <s v="http://www.sec.gov/cgi-bin/browse-edgar?action=getcompany&amp;CIK=KEY"/>
    <n v="22.6"/>
    <n v="0"/>
  </r>
  <r>
    <s v="KMB"/>
    <s v="Kimberly-Clark"/>
    <x v="8"/>
    <n v="111.69"/>
    <n v="17.93"/>
    <n v="3.5599859"/>
    <n v="6.41"/>
    <n v="136.21"/>
    <n v="109.67"/>
    <n v="39449596000"/>
    <n v="4033000000"/>
    <n v="2.1947836999999999"/>
    <n v="151.66"/>
    <s v="http://www.sec.gov/cgi-bin/browse-edgar?action=getcompany&amp;CIK=KMB"/>
    <n v="39.4"/>
    <n v="4"/>
  </r>
  <r>
    <s v="KIM"/>
    <s v="Kimco Realty"/>
    <x v="7"/>
    <n v="14.01"/>
    <n v="9.2799999999999994"/>
    <n v="7.7134986000000003"/>
    <n v="0.8"/>
    <n v="25.15"/>
    <n v="14.33"/>
    <n v="6180487499"/>
    <n v="701190000"/>
    <n v="7.0508943000000004"/>
    <n v="1.2"/>
    <s v="http://www.sec.gov/cgi-bin/browse-edgar?action=getcompany&amp;CIK=KIM"/>
    <n v="6.2"/>
    <n v="0.7"/>
  </r>
  <r>
    <s v="KMI"/>
    <s v="Kinder Morgan"/>
    <x v="9"/>
    <n v="16.8"/>
    <n v="25.07"/>
    <n v="2.891845"/>
    <n v="0.01"/>
    <n v="22.75"/>
    <n v="16.559999999999999"/>
    <n v="38612712234"/>
    <n v="5981000000"/>
    <n v="2.8239359999999998"/>
    <n v="1.07"/>
    <s v="http://www.sec.gov/cgi-bin/browse-edgar?action=getcompany&amp;CIK=KMI"/>
    <n v="38.6"/>
    <n v="6"/>
  </r>
  <r>
    <s v="KLAC"/>
    <s v="KLA-Tencor Corp."/>
    <x v="2"/>
    <n v="98.54"/>
    <n v="16.59"/>
    <n v="2.2988504999999999"/>
    <n v="5.88"/>
    <n v="121.65"/>
    <n v="86.33"/>
    <n v="16078622033"/>
    <n v="1506642000"/>
    <n v="4.3395862999999997"/>
    <n v="12.93"/>
    <s v="http://www.sec.gov/cgi-bin/browse-edgar?action=getcompany&amp;CIK=KLAC"/>
    <n v="16.100000000000001"/>
    <n v="1.5"/>
  </r>
  <r>
    <s v="KSS"/>
    <s v="Kohl's Corp."/>
    <x v="3"/>
    <n v="60.34"/>
    <n v="16.010000000000002"/>
    <n v="3.4965036"/>
    <n v="3.12"/>
    <n v="69.14"/>
    <n v="35.159999999999997"/>
    <n v="10570861198"/>
    <n v="2286000000"/>
    <n v="0.85577570000000003"/>
    <n v="2.04"/>
    <s v="http://www.sec.gov/cgi-bin/browse-edgar?action=getcompany&amp;CIK=KSS"/>
    <n v="10.6"/>
    <n v="2.2999999999999998"/>
  </r>
  <r>
    <s v="KHC"/>
    <s v="Kraft Heinz Co"/>
    <x v="8"/>
    <n v="71.58"/>
    <n v="20.11"/>
    <n v="3.3990483"/>
    <n v="2.81"/>
    <n v="97.77"/>
    <n v="72.05"/>
    <n v="89618309338"/>
    <n v="7832000000"/>
    <n v="4.6780853000000002"/>
    <n v="1.54"/>
    <s v="http://www.sec.gov/cgi-bin/browse-edgar?action=getcompany&amp;CIK=KHC"/>
    <n v="89.6"/>
    <n v="7.8"/>
  </r>
  <r>
    <s v="KR"/>
    <s v="Kroger Co."/>
    <x v="8"/>
    <n v="27.57"/>
    <n v="13.07"/>
    <n v="1.7301039"/>
    <n v="2.0499999999999998"/>
    <n v="34.75"/>
    <n v="19.690000000000001"/>
    <n v="25471355847"/>
    <n v="5342000000"/>
    <n v="0.27961262999999997"/>
    <n v="4.0199999999999996"/>
    <s v="http://www.sec.gov/cgi-bin/browse-edgar?action=getcompany&amp;CIK=KR"/>
    <n v="25.5"/>
    <n v="5.3"/>
  </r>
  <r>
    <s v="LB"/>
    <s v="L Brands Inc."/>
    <x v="3"/>
    <n v="47.77"/>
    <n v="12.77"/>
    <n v="4.8869879999999997"/>
    <n v="3.98"/>
    <n v="63.1"/>
    <n v="35"/>
    <n v="13862042842"/>
    <n v="2329000000"/>
    <n v="1.7060976999999999"/>
    <n v="1403.38"/>
    <s v="http://www.sec.gov/cgi-bin/browse-edgar?action=getcompany&amp;CIK=LB"/>
    <n v="13.9"/>
    <n v="2.2999999999999998"/>
  </r>
  <r>
    <s v="LLL"/>
    <s v="L-3 Communications Holdings"/>
    <x v="0"/>
    <n v="198.79"/>
    <n v="23.14"/>
    <n v="1.4444604999999999"/>
    <n v="8.51"/>
    <n v="218.70500000000001"/>
    <n v="159.43"/>
    <n v="16229343134"/>
    <n v="1137000000"/>
    <n v="1.4884603999999999"/>
    <n v="3.12"/>
    <s v="http://www.sec.gov/cgi-bin/browse-edgar?action=getcompany&amp;CIK=LLL"/>
    <n v="16.2"/>
    <n v="1.1000000000000001"/>
  </r>
  <r>
    <s v="LH"/>
    <s v="Laboratory Corp. of America Holding"/>
    <x v="1"/>
    <n v="165.46"/>
    <n v="17.79"/>
    <n v="0"/>
    <n v="7.02"/>
    <n v="181.715"/>
    <n v="130.292"/>
    <n v="17271388000"/>
    <n v="1861200000"/>
    <n v="2.2459623999999998"/>
    <n v="2.71"/>
    <s v="http://www.sec.gov/cgi-bin/browse-edgar?action=getcompany&amp;CIK=LH"/>
    <n v="17.3"/>
    <n v="1.9"/>
  </r>
  <r>
    <s v="LRCX"/>
    <s v="Lam Research"/>
    <x v="2"/>
    <n v="162.22999999999999"/>
    <n v="16.29"/>
    <n v="1.1652974"/>
    <n v="9.2200000000000006"/>
    <n v="219.7"/>
    <n v="113.1982"/>
    <n v="27967534829"/>
    <n v="2967218000"/>
    <n v="3.0405293000000002"/>
    <n v="4.5199999999999996"/>
    <s v="http://www.sec.gov/cgi-bin/browse-edgar?action=getcompany&amp;CIK=LRCX"/>
    <n v="28"/>
    <n v="3"/>
  </r>
  <r>
    <s v="LEG"/>
    <s v="Leggett &amp; Platt"/>
    <x v="3"/>
    <n v="43.99"/>
    <n v="17.88"/>
    <n v="3.1454784999999998"/>
    <n v="2.76"/>
    <n v="54.97"/>
    <n v="42"/>
    <n v="6034600480"/>
    <n v="447000000"/>
    <n v="2.0302901000000002"/>
    <n v="4.8899999999999997"/>
    <s v="http://www.sec.gov/cgi-bin/browse-edgar?action=getcompany&amp;CIK=LEG"/>
    <n v="6"/>
    <n v="0.4"/>
  </r>
  <r>
    <s v="LEN"/>
    <s v="Lennar Corp."/>
    <x v="3"/>
    <n v="59.11"/>
    <n v="15.35"/>
    <n v="0.26268265000000002"/>
    <n v="3.38"/>
    <n v="72.17"/>
    <n v="43.647053"/>
    <n v="14615967194"/>
    <n v="1405319000"/>
    <n v="1.1468263999999999"/>
    <n v="1.76"/>
    <s v="http://www.sec.gov/cgi-bin/browse-edgar?action=getcompany&amp;CIK=LEN"/>
    <n v="14.6"/>
    <n v="1.4"/>
  </r>
  <r>
    <s v="LUK"/>
    <s v="Leucadia National Corp."/>
    <x v="5"/>
    <n v="23.86"/>
    <n v="15.39"/>
    <n v="1.5993602"/>
    <n v="0.33"/>
    <n v="28.3"/>
    <n v="22.23"/>
    <n v="8910389431"/>
    <n v="2201336000"/>
    <n v="1.0410155999999999"/>
    <n v="0.84"/>
    <s v="http://www.sec.gov/cgi-bin/browse-edgar?action=getcompany&amp;CIK=LUK"/>
    <n v="8.9"/>
    <n v="2.2000000000000002"/>
  </r>
  <r>
    <s v="LLY"/>
    <s v="Lilly (Eli) &amp; Co."/>
    <x v="1"/>
    <n v="74.209999999999994"/>
    <n v="17.34"/>
    <n v="2.9327424"/>
    <n v="-0.2"/>
    <n v="89.09"/>
    <n v="75.709999999999994"/>
    <n v="84475986228"/>
    <n v="3459800000"/>
    <n v="3.7546780000000002"/>
    <n v="5.73"/>
    <s v="http://www.sec.gov/cgi-bin/browse-edgar?action=getcompany&amp;CIK=LLY"/>
    <n v="84.5"/>
    <n v="3.5"/>
  </r>
  <r>
    <s v="LNC"/>
    <s v="Lincoln National"/>
    <x v="5"/>
    <n v="73.86"/>
    <n v="9.49"/>
    <n v="1.6813145"/>
    <n v="9.24"/>
    <n v="86.68"/>
    <n v="61.45"/>
    <n v="17123031000"/>
    <n v="0"/>
    <n v="1.2019439999999999"/>
    <n v="1.04"/>
    <s v="http://www.sec.gov/cgi-bin/browse-edgar?action=getcompany&amp;CIK=LNC"/>
    <n v="17.100000000000001"/>
    <n v="0"/>
  </r>
  <r>
    <s v="LKQ"/>
    <s v="LKQ Corporation"/>
    <x v="3"/>
    <n v="38.86"/>
    <n v="21.35"/>
    <n v="0"/>
    <n v="1.5"/>
    <n v="43.859900000000003"/>
    <n v="27.85"/>
    <n v="12469931896"/>
    <n v="1065614000"/>
    <n v="1.7236089999999999"/>
    <n v="3.02"/>
    <s v="http://www.sec.gov/cgi-bin/browse-edgar?action=getcompany&amp;CIK=LKQ"/>
    <n v="12.5"/>
    <n v="1.1000000000000001"/>
  </r>
  <r>
    <s v="LMT"/>
    <s v="Lockheed Martin Corp."/>
    <x v="0"/>
    <n v="334.3"/>
    <n v="24.28"/>
    <n v="2.3159540000000001"/>
    <n v="6.83"/>
    <n v="361.79"/>
    <n v="256.39999999999998"/>
    <n v="98102120000"/>
    <n v="7115000000"/>
    <n v="1.8781451"/>
    <n v="45.55"/>
    <s v="http://www.sec.gov/cgi-bin/browse-edgar?action=getcompany&amp;CIK=LMT"/>
    <n v="98.1"/>
    <n v="7.1"/>
  </r>
  <r>
    <s v="L"/>
    <s v="Loews Corp."/>
    <x v="5"/>
    <n v="46.05"/>
    <n v="15.99"/>
    <n v="4.5131636000000004"/>
    <n v="1.93"/>
    <n v="53.59"/>
    <n v="45.01"/>
    <n v="16111166935"/>
    <n v="0"/>
    <n v="1.5809761"/>
    <n v="0.85"/>
    <s v="http://www.sec.gov/cgi-bin/browse-edgar?action=getcompany&amp;CIK=L"/>
    <n v="16.100000000000001"/>
    <n v="0"/>
  </r>
  <r>
    <s v="LOW"/>
    <s v="Lowe's Cos."/>
    <x v="3"/>
    <n v="95.01"/>
    <n v="23.87"/>
    <n v="1.6413131000000001"/>
    <n v="3.46"/>
    <n v="108.98"/>
    <n v="70.760000000000005"/>
    <n v="82909678852"/>
    <n v="7858000000"/>
    <n v="1.5653383999999999"/>
    <n v="14.1"/>
    <s v="http://www.sec.gov/cgi-bin/browse-edgar?action=getcompany&amp;CIK=LOW"/>
    <n v="82.9"/>
    <n v="7.9"/>
  </r>
  <r>
    <s v="LYB"/>
    <s v="LyondellBasell"/>
    <x v="6"/>
    <n v="105.79"/>
    <n v="10.35"/>
    <n v="3.2647140000000001"/>
    <n v="12.25"/>
    <n v="121.95"/>
    <n v="78.010000000000005"/>
    <n v="43556650000"/>
    <n v="6851000000"/>
    <n v="1.3037612000000001"/>
    <n v="5.86"/>
    <s v="http://www.sec.gov/cgi-bin/browse-edgar?action=getcompany&amp;CIK=LYB"/>
    <n v="43.6"/>
    <n v="6.9"/>
  </r>
  <r>
    <s v="MTB"/>
    <s v="M&amp;T Bank Corp."/>
    <x v="5"/>
    <n v="178.35"/>
    <n v="18.91"/>
    <n v="1.6218846"/>
    <n v="8.69"/>
    <n v="193.85"/>
    <n v="141.12"/>
    <n v="27840827434"/>
    <n v="0"/>
    <n v="4.6277885000000003"/>
    <n v="1.79"/>
    <s v="http://www.sec.gov/cgi-bin/browse-edgar?action=getcompany&amp;CIK=MTB"/>
    <n v="27.8"/>
    <n v="0"/>
  </r>
  <r>
    <s v="MAC"/>
    <s v="Macerich"/>
    <x v="7"/>
    <n v="58.36"/>
    <n v="14.81"/>
    <n v="4.9177603999999997"/>
    <n v="3.43"/>
    <n v="69.73"/>
    <n v="52.12"/>
    <n v="8473119166"/>
    <n v="503183000"/>
    <n v="11.394876999999999"/>
    <n v="2.2400000000000002"/>
    <s v="http://www.sec.gov/cgi-bin/browse-edgar?action=getcompany&amp;CIK=MAC"/>
    <n v="8.5"/>
    <n v="0.5"/>
  </r>
  <r>
    <s v="M"/>
    <s v="Macy's Inc."/>
    <x v="3"/>
    <n v="24"/>
    <n v="7.67"/>
    <n v="6.0985459999999998"/>
    <n v="1.98"/>
    <n v="33.729999999999997"/>
    <n v="17.405000000000001"/>
    <n v="7541063495"/>
    <n v="2446000000"/>
    <n v="0.45503208000000001"/>
    <n v="1.69"/>
    <s v="http://www.sec.gov/cgi-bin/browse-edgar?action=getcompany&amp;CIK=M"/>
    <n v="7.5"/>
    <n v="2.4"/>
  </r>
  <r>
    <s v="MRO"/>
    <s v="Marathon Oil Corp."/>
    <x v="9"/>
    <n v="15.68"/>
    <n v="-32"/>
    <n v="1.2247398"/>
    <n v="-2.65"/>
    <n v="19.52"/>
    <n v="10.55"/>
    <n v="13875005314"/>
    <n v="2266000000"/>
    <n v="4.6578755000000003"/>
    <m/>
    <s v="http://www.sec.gov/cgi-bin/browse-edgar?action=getcompany&amp;CIK=MRO"/>
    <n v="13.9"/>
    <n v="2.2999999999999998"/>
  </r>
  <r>
    <s v="MPC"/>
    <s v="Marathon Petroleum"/>
    <x v="9"/>
    <n v="62.79"/>
    <n v="16.059999999999999"/>
    <n v="2.8268551999999998"/>
    <n v="6.85"/>
    <n v="73.53"/>
    <n v="47.39"/>
    <n v="31633740000"/>
    <n v="5978000000"/>
    <n v="0.42713487"/>
    <n v="2.4300000000000002"/>
    <s v="http://www.sec.gov/cgi-bin/browse-edgar?action=getcompany&amp;CIK=MPC"/>
    <n v="31.6"/>
    <n v="6"/>
  </r>
  <r>
    <s v="MAR"/>
    <s v="Marriott Int'l."/>
    <x v="3"/>
    <n v="133.88"/>
    <n v="32.729999999999997"/>
    <n v="0.94528789999999996"/>
    <n v="2.67"/>
    <n v="149.21"/>
    <n v="85.372500000000002"/>
    <n v="50910130358"/>
    <n v="2620000000"/>
    <n v="2.9997248999999999"/>
    <n v="11.02"/>
    <s v="http://www.sec.gov/cgi-bin/browse-edgar?action=getcompany&amp;CIK=MAR"/>
    <n v="50.9"/>
    <n v="2.6"/>
  </r>
  <r>
    <s v="MMC"/>
    <s v="Marsh &amp; McLennan"/>
    <x v="5"/>
    <n v="79.31"/>
    <n v="20.23"/>
    <n v="1.8257059"/>
    <n v="2.87"/>
    <n v="86.54"/>
    <n v="69.33"/>
    <n v="41819440000"/>
    <n v="3236000000"/>
    <n v="2.9848944999999998"/>
    <n v="5.85"/>
    <s v="http://www.sec.gov/cgi-bin/browse-edgar?action=getcompany&amp;CIK=MMC"/>
    <n v="41.8"/>
    <n v="3.2"/>
  </r>
  <r>
    <s v="MLM"/>
    <s v="Martin Marietta Materials"/>
    <x v="6"/>
    <n v="208.42"/>
    <n v="30.38"/>
    <n v="0.80420380000000002"/>
    <n v="6.63"/>
    <n v="244.32"/>
    <n v="191.09"/>
    <n v="13756812736"/>
    <n v="975223000"/>
    <n v="4.4169980000000004"/>
    <n v="3.03"/>
    <s v="http://www.sec.gov/cgi-bin/browse-edgar?action=getcompany&amp;CIK=MLM"/>
    <n v="13.8"/>
    <n v="1"/>
  </r>
  <r>
    <s v="MAS"/>
    <s v="Masco Corp."/>
    <x v="0"/>
    <n v="40.700000000000003"/>
    <n v="22.12"/>
    <n v="0.98383695000000004"/>
    <n v="1.47"/>
    <n v="46.445"/>
    <n v="31.29"/>
    <n v="13428792315"/>
    <n v="1179000000"/>
    <n v="2.3082660000000002"/>
    <n v="11.93"/>
    <s v="http://www.sec.gov/cgi-bin/browse-edgar?action=getcompany&amp;CIK=MAS"/>
    <n v="13.4"/>
    <n v="1.2"/>
  </r>
  <r>
    <s v="MA"/>
    <s v="Mastercard Inc."/>
    <x v="2"/>
    <n v="160.62"/>
    <n v="34.99"/>
    <n v="0.59266280000000005"/>
    <n v="3.65"/>
    <n v="177.11"/>
    <n v="105.8"/>
    <n v="187102014193"/>
    <n v="7113000000"/>
    <n v="15.020555999999999"/>
    <n v="26.93"/>
    <s v="http://www.sec.gov/cgi-bin/browse-edgar?action=getcompany&amp;CIK=MA"/>
    <n v="187.1"/>
    <n v="7.1"/>
  </r>
  <r>
    <s v="MAT"/>
    <s v="Mattel Inc."/>
    <x v="3"/>
    <n v="16"/>
    <n v="-14.68"/>
    <n v="0"/>
    <n v="-3.06"/>
    <n v="26.3"/>
    <n v="12.71"/>
    <n v="5843402350"/>
    <n v="-203599000"/>
    <n v="1.1863722000000001"/>
    <n v="3.87"/>
    <s v="http://www.sec.gov/cgi-bin/browse-edgar?action=getcompany&amp;CIK=MAT"/>
    <n v="5.8"/>
    <n v="-0.2"/>
  </r>
  <r>
    <s v="MKC"/>
    <s v="McCormick &amp; Co."/>
    <x v="8"/>
    <n v="101.36"/>
    <n v="23.91"/>
    <n v="2.0261056000000002"/>
    <n v="3.73"/>
    <n v="109.67"/>
    <n v="90.25"/>
    <n v="13459353253"/>
    <n v="815700000"/>
    <n v="2.7788276999999999"/>
    <n v="5.2"/>
    <s v="http://www.sec.gov/cgi-bin/browse-edgar?action=getcompany&amp;CIK=MKC"/>
    <n v="13.5"/>
    <n v="0.8"/>
  </r>
  <r>
    <s v="MCD"/>
    <s v="McDonald's Corp."/>
    <x v="3"/>
    <n v="158.97"/>
    <n v="23.83"/>
    <n v="2.4379940000000002"/>
    <n v="6.36"/>
    <n v="178.7"/>
    <n v="124.36"/>
    <n v="132101623787"/>
    <n v="10515400000"/>
    <n v="5.7702369999999998"/>
    <n v="146.07"/>
    <s v="http://www.sec.gov/cgi-bin/browse-edgar?action=getcompany&amp;CIK=MCD"/>
    <n v="132.1"/>
    <n v="10.5"/>
  </r>
  <r>
    <s v="MCK"/>
    <s v="McKesson Corp."/>
    <x v="1"/>
    <n v="150.22999999999999"/>
    <n v="11.68"/>
    <n v="0.88987760000000005"/>
    <n v="22.74"/>
    <n v="178.86"/>
    <n v="133.82"/>
    <n v="31534840262"/>
    <n v="7232000000"/>
    <n v="0.15318617000000001"/>
    <n v="2.68"/>
    <s v="http://www.sec.gov/cgi-bin/browse-edgar?action=getcompany&amp;CIK=MCK"/>
    <n v="31.5"/>
    <n v="7.2"/>
  </r>
  <r>
    <s v="MDT"/>
    <s v="Medtronic plc"/>
    <x v="1"/>
    <n v="78.38"/>
    <n v="17.04"/>
    <n v="2.2618315"/>
    <n v="2.89"/>
    <n v="89.72"/>
    <n v="75.44"/>
    <n v="110107062300"/>
    <n v="9204000000"/>
    <n v="4.9445420000000002"/>
    <n v="2.14"/>
    <s v="http://www.sec.gov/cgi-bin/browse-edgar?action=getcompany&amp;CIK=MDT"/>
    <n v="110.1"/>
    <n v="9.1999999999999993"/>
  </r>
  <r>
    <s v="MRK"/>
    <s v="Merck &amp; Co."/>
    <x v="1"/>
    <n v="54.73"/>
    <n v="13.75"/>
    <n v="3.435934"/>
    <n v="1.4"/>
    <n v="66.8"/>
    <n v="53.63"/>
    <n v="152241530340"/>
    <n v="8715000000"/>
    <n v="5.0893344999999997"/>
    <n v="4.0199999999999996"/>
    <s v="http://www.sec.gov/cgi-bin/browse-edgar?action=getcompany&amp;CIK=MRK"/>
    <n v="152.19999999999999"/>
    <n v="8.6999999999999993"/>
  </r>
  <r>
    <s v="MET"/>
    <s v="MetLife Inc."/>
    <x v="5"/>
    <n v="44.28"/>
    <n v="8.52"/>
    <n v="3.4587116"/>
    <n v="0.63"/>
    <n v="56.58"/>
    <n v="44.58"/>
    <n v="48679364276"/>
    <n v="0"/>
    <n v="1.0496863999999999"/>
    <n v="0.85"/>
    <s v="http://www.sec.gov/cgi-bin/browse-edgar?action=getcompany&amp;CIK=MET"/>
    <n v="48.7"/>
    <n v="0"/>
  </r>
  <r>
    <s v="MTD"/>
    <s v="Mettler Toledo"/>
    <x v="1"/>
    <n v="601"/>
    <n v="35.56"/>
    <n v="0"/>
    <n v="14.24"/>
    <n v="697.26"/>
    <n v="459.34"/>
    <n v="16420774443"/>
    <n v="666706000"/>
    <n v="8.3723069999999993"/>
    <n v="31.69"/>
    <s v="http://www.sec.gov/cgi-bin/browse-edgar?action=getcompany&amp;CIK=MTD"/>
    <n v="16.399999999999999"/>
    <n v="0.7"/>
  </r>
  <r>
    <s v="MGM"/>
    <s v="MGM Resorts International"/>
    <x v="3"/>
    <n v="33.5"/>
    <n v="29.65"/>
    <n v="1.2687428000000001"/>
    <n v="1.92"/>
    <n v="38.409999999999997"/>
    <n v="25.15"/>
    <n v="19633674337"/>
    <n v="2680385000"/>
    <n v="2.2276718999999998"/>
    <n v="3.09"/>
    <s v="http://www.sec.gov/cgi-bin/browse-edgar?action=getcompany&amp;CIK=MGM"/>
    <n v="19.600000000000001"/>
    <n v="2.7"/>
  </r>
  <r>
    <s v="KORS"/>
    <s v="Michael Kors Holdings"/>
    <x v="3"/>
    <n v="60.03"/>
    <n v="14.29"/>
    <n v="0"/>
    <n v="3.31"/>
    <n v="69.95"/>
    <n v="32.380000000000003"/>
    <n v="10053919023"/>
    <n v="456600000"/>
    <n v="3.1455926999999999"/>
    <n v="5.4"/>
    <s v="http://www.sec.gov/cgi-bin/browse-edgar?action=getcompany&amp;CIK=KORS"/>
    <n v="10.1"/>
    <n v="0.5"/>
  </r>
  <r>
    <s v="MCHP"/>
    <s v="Microchip Technology"/>
    <x v="2"/>
    <n v="79.900000000000006"/>
    <n v="21.77"/>
    <n v="1.7512966000000001"/>
    <n v="0.66"/>
    <n v="99.17"/>
    <n v="69.760000000000005"/>
    <n v="19393095636"/>
    <n v="997492000"/>
    <n v="7.4475182999999996"/>
    <n v="5.9"/>
    <s v="http://www.sec.gov/cgi-bin/browse-edgar?action=getcompany&amp;CIK=MCHP"/>
    <n v="19.399999999999999"/>
    <n v="1"/>
  </r>
  <r>
    <s v="MU"/>
    <s v="Micron Technology"/>
    <x v="2"/>
    <n v="40"/>
    <n v="9.01"/>
    <n v="0"/>
    <n v="4.3600000000000003"/>
    <n v="49.89"/>
    <n v="22.64"/>
    <n v="48576791974"/>
    <n v="12541000000"/>
    <n v="2.1912805999999998"/>
    <n v="2.02"/>
    <s v="http://www.sec.gov/cgi-bin/browse-edgar?action=getcompany&amp;CIK=MU"/>
    <n v="48.6"/>
    <n v="12.5"/>
  </r>
  <r>
    <s v="MSFT"/>
    <s v="Microsoft Corp."/>
    <x v="2"/>
    <n v="85.01"/>
    <n v="25.76"/>
    <n v="1.8747908"/>
    <n v="2.97"/>
    <n v="96.07"/>
    <n v="63.22"/>
    <n v="689978437468"/>
    <n v="41079000000"/>
    <n v="7.1130966999999998"/>
    <n v="9.49"/>
    <s v="http://www.sec.gov/cgi-bin/browse-edgar?action=getcompany&amp;CIK=MSFT"/>
    <n v="690"/>
    <n v="41.1"/>
  </r>
  <r>
    <s v="MAA"/>
    <s v="Mid-America Apartments"/>
    <x v="7"/>
    <n v="85.39"/>
    <n v="14.38"/>
    <n v="4.1965199999999996"/>
    <n v="2.86"/>
    <n v="110.95"/>
    <n v="86.95"/>
    <n v="9992628990"/>
    <n v="871483000"/>
    <n v="6.6291074999999999"/>
    <n v="1.6"/>
    <s v="http://www.sec.gov/cgi-bin/browse-edgar?action=getcompany&amp;CIK=MAA"/>
    <n v="10"/>
    <n v="0.9"/>
  </r>
  <r>
    <s v="MHK"/>
    <s v="Mohawk Industries"/>
    <x v="3"/>
    <n v="256.57"/>
    <n v="19.079999999999998"/>
    <n v="0"/>
    <n v="12.48"/>
    <n v="286.85000000000002"/>
    <n v="209.9"/>
    <n v="19897356456"/>
    <n v="1750393000"/>
    <n v="2.7977824"/>
    <n v="2.88"/>
    <s v="http://www.sec.gov/cgi-bin/browse-edgar?action=getcompany&amp;CIK=MHK"/>
    <n v="19.899999999999999"/>
    <n v="1.8"/>
  </r>
  <r>
    <s v="TAP"/>
    <s v="Molson Coors Brewing Company"/>
    <x v="8"/>
    <n v="74.510000000000005"/>
    <n v="17.66"/>
    <n v="2.1533612999999998"/>
    <n v="9.27"/>
    <n v="102.14"/>
    <n v="75.790000000000006"/>
    <n v="12396862128"/>
    <n v="4708400000"/>
    <n v="1.2371694"/>
    <n v="1.34"/>
    <s v="http://www.sec.gov/cgi-bin/browse-edgar?action=getcompany&amp;CIK=TAP"/>
    <n v="12.4"/>
    <n v="4.7"/>
  </r>
  <r>
    <s v="MDLZ"/>
    <s v="Mondelez International"/>
    <x v="8"/>
    <n v="42.68"/>
    <n v="19.850000000000001"/>
    <n v="1.9977298999999999"/>
    <n v="1.91"/>
    <n v="47.23"/>
    <n v="39.19"/>
    <n v="65827817742"/>
    <n v="4355000000"/>
    <n v="2.5708609"/>
    <n v="2.52"/>
    <s v="http://www.sec.gov/cgi-bin/browse-edgar?action=getcompany&amp;CIK=MDLZ"/>
    <n v="65.8"/>
    <n v="4.4000000000000004"/>
  </r>
  <r>
    <s v="MON"/>
    <s v="Monsanto Co."/>
    <x v="6"/>
    <n v="119.08"/>
    <n v="21.53"/>
    <n v="1.7938708999999999"/>
    <n v="5.09"/>
    <n v="123.15"/>
    <n v="106.97"/>
    <n v="53076824328"/>
    <n v="4217000000"/>
    <n v="3.589782"/>
    <n v="7.96"/>
    <s v="http://www.sec.gov/cgi-bin/browse-edgar?action=getcompany&amp;CIK=MON"/>
    <n v="53.1"/>
    <n v="4.2"/>
  </r>
  <r>
    <s v="MNST"/>
    <s v="Monster Beverage"/>
    <x v="8"/>
    <n v="61.99"/>
    <n v="42.17"/>
    <n v="0"/>
    <n v="1.19"/>
    <n v="70.215000000000003"/>
    <n v="41.02"/>
    <n v="36403831015"/>
    <n v="1229478000"/>
    <n v="14.152587"/>
    <n v="9.56"/>
    <s v="http://www.sec.gov/cgi-bin/browse-edgar?action=getcompany&amp;CIK=MNST"/>
    <n v="36.4"/>
    <n v="1.2"/>
  </r>
  <r>
    <s v="MCO"/>
    <s v="Moody's Corp"/>
    <x v="5"/>
    <n v="152.13999999999999"/>
    <n v="26.55"/>
    <n v="1.1140650000000001"/>
    <n v="1.35"/>
    <n v="167.23"/>
    <n v="106.48"/>
    <n v="30189978000"/>
    <n v="1238000000"/>
    <n v="9.9329739999999997"/>
    <n v="73.84"/>
    <s v="http://www.sec.gov/cgi-bin/browse-edgar?action=getcompany&amp;CIK=MCO"/>
    <n v="30.2"/>
    <n v="1.2"/>
  </r>
  <r>
    <s v="MS"/>
    <s v="Morgan Stanley"/>
    <x v="5"/>
    <n v="51.79"/>
    <n v="14.23"/>
    <n v="1.8331805000000001"/>
    <n v="3.09"/>
    <n v="58.05"/>
    <n v="40.06"/>
    <n v="97535400000"/>
    <n v="0"/>
    <n v="2.2258841999999999"/>
    <n v="1.33"/>
    <s v="http://www.sec.gov/cgi-bin/browse-edgar?action=getcompany&amp;CIK=MS"/>
    <n v="97.5"/>
    <n v="0"/>
  </r>
  <r>
    <s v="MSI"/>
    <s v="Motorola Solutions Inc."/>
    <x v="2"/>
    <n v="98.74"/>
    <n v="19.03"/>
    <n v="2.0266978999999998"/>
    <n v="-1.08"/>
    <n v="107.78"/>
    <n v="77.23"/>
    <n v="16626039679"/>
    <n v="1629000000"/>
    <n v="2.6092634000000001"/>
    <n v="6.81"/>
    <s v="http://www.sec.gov/cgi-bin/browse-edgar?action=getcompany&amp;CIK=MSI"/>
    <n v="16.600000000000001"/>
    <n v="1.6"/>
  </r>
  <r>
    <s v="MYL"/>
    <s v="Mylan N.V."/>
    <x v="1"/>
    <n v="39.25"/>
    <n v="8.35"/>
    <n v="0"/>
    <n v="0.93"/>
    <n v="47.82"/>
    <n v="29.39"/>
    <n v="21698849265"/>
    <n v="3113300000"/>
    <n v="2.5358944000000001"/>
    <n v="1.63"/>
    <s v="http://www.sec.gov/cgi-bin/browse-edgar?action=getcompany&amp;CIK=MYL"/>
    <n v="21.7"/>
    <n v="3.1"/>
  </r>
  <r>
    <s v="NDAQ"/>
    <s v="Nasdaq, Inc."/>
    <x v="5"/>
    <n v="75.209999999999994"/>
    <n v="17.78"/>
    <n v="1.9671282999999999"/>
    <n v="4.32"/>
    <n v="83.29"/>
    <n v="65.98"/>
    <n v="12844304115"/>
    <n v="1212000000"/>
    <n v="3.2591082999999998"/>
    <n v="2.25"/>
    <s v="http://www.sec.gov/cgi-bin/browse-edgar?action=getcompany&amp;CIK=NDAQ"/>
    <n v="12.8"/>
    <n v="1.2"/>
  </r>
  <r>
    <s v="NOV"/>
    <s v="National Oilwell Varco Inc."/>
    <x v="9"/>
    <n v="32.64"/>
    <n v="-77.709999999999994"/>
    <n v="0.58737150000000005"/>
    <n v="-6.4"/>
    <n v="41.895000000000003"/>
    <n v="29.9"/>
    <n v="12940096785"/>
    <n v="353000000"/>
    <n v="2.5209633999999999"/>
    <n v="0.91"/>
    <s v="http://www.sec.gov/cgi-bin/browse-edgar?action=getcompany&amp;CIK=NOV"/>
    <n v="12.9"/>
    <n v="0.4"/>
  </r>
  <r>
    <s v="NAVI"/>
    <s v="Navient"/>
    <x v="5"/>
    <n v="13.38"/>
    <n v="7.56"/>
    <n v="4.5584043999999997"/>
    <n v="1.01"/>
    <n v="16.97"/>
    <n v="11.481"/>
    <n v="3692691330"/>
    <n v="0"/>
    <n v="0.69865790000000005"/>
    <n v="1.02"/>
    <s v="http://www.sec.gov/cgi-bin/browse-edgar?action=getcompany&amp;CIK=NAVI"/>
    <n v="3.7"/>
    <n v="0"/>
  </r>
  <r>
    <s v="NTAP"/>
    <s v="NetApp"/>
    <x v="2"/>
    <n v="55.85"/>
    <n v="26.1"/>
    <n v="1.3881657999999999"/>
    <n v="1.81"/>
    <n v="64.059899999999999"/>
    <n v="37.43"/>
    <n v="15375210915"/>
    <n v="1075000000"/>
    <n v="3.6687026"/>
    <n v="5.46"/>
    <s v="http://www.sec.gov/cgi-bin/browse-edgar?action=getcompany&amp;CIK=NTAP"/>
    <n v="15.4"/>
    <n v="1.1000000000000001"/>
  </r>
  <r>
    <s v="NFLX"/>
    <s v="Netflix Inc."/>
    <x v="2"/>
    <n v="250.1"/>
    <n v="200.08"/>
    <n v="0"/>
    <n v="1.25"/>
    <n v="286.81"/>
    <n v="138.26"/>
    <n v="114805404842"/>
    <n v="809028000"/>
    <n v="9.8615940000000002"/>
    <n v="30.8"/>
    <s v="http://www.sec.gov/cgi-bin/browse-edgar?action=getcompany&amp;CIK=NFLX"/>
    <n v="114.8"/>
    <n v="0.8"/>
  </r>
  <r>
    <s v="NWL"/>
    <s v="Newell Brands"/>
    <x v="3"/>
    <n v="27.91"/>
    <n v="9.7200000000000006"/>
    <n v="3.1228785999999999"/>
    <n v="1.17"/>
    <n v="55.08"/>
    <n v="23.85"/>
    <n v="14438346000"/>
    <n v="2021400000"/>
    <n v="1.2810478999999999"/>
    <n v="1.01"/>
    <s v="http://www.sec.gov/cgi-bin/browse-edgar?action=getcompany&amp;CIK=NWL"/>
    <n v="14.4"/>
    <n v="2"/>
  </r>
  <r>
    <s v="NFX"/>
    <s v="Newfield Exploration Co"/>
    <x v="9"/>
    <n v="26.38"/>
    <n v="13.12"/>
    <n v="0"/>
    <n v="-6.5"/>
    <n v="43.74"/>
    <n v="24.41"/>
    <n v="5695123080"/>
    <n v="896000000"/>
    <n v="4.7032590000000001"/>
    <n v="4.51"/>
    <s v="http://www.sec.gov/cgi-bin/browse-edgar?action=getcompany&amp;CIK=NFX"/>
    <n v="5.7"/>
    <n v="0.9"/>
  </r>
  <r>
    <s v="NEM"/>
    <s v="Newmont Mining Corporation"/>
    <x v="6"/>
    <n v="36.61"/>
    <n v="26.34"/>
    <n v="0.81015389999999998"/>
    <n v="-1.18"/>
    <n v="42.04"/>
    <n v="31.42"/>
    <n v="19749449484"/>
    <n v="1509000000"/>
    <n v="3.7076392"/>
    <n v="1.81"/>
    <s v="http://www.sec.gov/cgi-bin/browse-edgar?action=getcompany&amp;CIK=NEM"/>
    <n v="19.7"/>
    <n v="1.5"/>
  </r>
  <r>
    <s v="NWSA"/>
    <s v="News Corp. Class A"/>
    <x v="3"/>
    <n v="15.65"/>
    <n v="43.47"/>
    <n v="1.24533"/>
    <n v="-1.28"/>
    <n v="17.29"/>
    <n v="12"/>
    <n v="9356906461"/>
    <n v="679000000"/>
    <n v="1.5518167"/>
    <n v="0.85"/>
    <s v="http://www.sec.gov/cgi-bin/browse-edgar?action=getcompany&amp;CIK=NWSA"/>
    <n v="9.4"/>
    <n v="0.7"/>
  </r>
  <r>
    <s v="NWS"/>
    <s v="News Corp. Class B"/>
    <x v="3"/>
    <n v="15.85"/>
    <n v="44.03"/>
    <n v="1.2269939000000001"/>
    <n v="-1.28"/>
    <n v="17.7"/>
    <n v="12.35"/>
    <n v="9496735699"/>
    <n v="679000000"/>
    <n v="1.5718216"/>
    <n v="0.86"/>
    <s v="http://www.sec.gov/cgi-bin/browse-edgar?action=getcompany&amp;CIK=NWS"/>
    <n v="9.5"/>
    <n v="0.7"/>
  </r>
  <r>
    <s v="NEE"/>
    <s v="NextEra Energy"/>
    <x v="4"/>
    <n v="145.29"/>
    <n v="21.65"/>
    <n v="2.6537917000000002"/>
    <n v="11.39"/>
    <n v="159.63999999999999"/>
    <n v="124.18"/>
    <n v="69661177770"/>
    <n v="9018000000"/>
    <n v="4.0916980000000001"/>
    <n v="2.75"/>
    <s v="http://www.sec.gov/cgi-bin/browse-edgar?action=getcompany&amp;CIK=NEE"/>
    <n v="69.7"/>
    <n v="9"/>
  </r>
  <r>
    <s v="NLSN"/>
    <s v="Nielsen Holdings"/>
    <x v="0"/>
    <n v="33.9"/>
    <n v="18.73"/>
    <n v="3.6208732000000001"/>
    <n v="1.39"/>
    <n v="45.73"/>
    <n v="34.22"/>
    <n v="13377670080"/>
    <n v="1836000000"/>
    <n v="2.7288198000000001"/>
    <n v="3.02"/>
    <s v="http://www.sec.gov/cgi-bin/browse-edgar?action=getcompany&amp;CIK=NLSN"/>
    <n v="13.4"/>
    <n v="1.8"/>
  </r>
  <r>
    <s v="NKE"/>
    <s v="Nike"/>
    <x v="3"/>
    <n v="62.49"/>
    <n v="24.9"/>
    <n v="1.2189547999999999"/>
    <n v="2.5099999999999998"/>
    <n v="68.83"/>
    <n v="50.35"/>
    <n v="106776113744"/>
    <n v="5162000000"/>
    <n v="3.0549932000000002"/>
    <n v="8.91"/>
    <s v="http://www.sec.gov/cgi-bin/browse-edgar?action=getcompany&amp;CIK=NKE"/>
    <n v="106.8"/>
    <n v="5.2"/>
  </r>
  <r>
    <s v="NI"/>
    <s v="NiSource Inc."/>
    <x v="4"/>
    <n v="22.51"/>
    <n v="19.57"/>
    <n v="3.3780858999999999"/>
    <n v="1.02"/>
    <n v="27.76"/>
    <n v="21.93"/>
    <n v="7776566371"/>
    <n v="1448600000"/>
    <n v="2.2361342999999998"/>
    <n v="1.82"/>
    <s v="http://www.sec.gov/cgi-bin/browse-edgar?action=getcompany&amp;CIK=NI"/>
    <n v="7.8"/>
    <n v="1.4"/>
  </r>
  <r>
    <s v="NBL"/>
    <s v="Noble Energy Inc"/>
    <x v="9"/>
    <n v="25.43"/>
    <n v="105.96"/>
    <n v="1.4771049000000001"/>
    <n v="-2.3199999999999998"/>
    <n v="39.6"/>
    <n v="22.984999999999999"/>
    <n v="13177325251"/>
    <n v="-518000000"/>
    <n v="4.6976446999999997"/>
    <n v="1.44"/>
    <s v="http://www.sec.gov/cgi-bin/browse-edgar?action=getcompany&amp;CIK=NBL"/>
    <n v="13.2"/>
    <n v="-0.5"/>
  </r>
  <r>
    <s v="JWN"/>
    <s v="Nordstrom"/>
    <x v="3"/>
    <n v="47.23"/>
    <n v="15.04"/>
    <n v="3.0020285000000002"/>
    <n v="2.02"/>
    <n v="53"/>
    <n v="37.792400000000001"/>
    <n v="8212509855"/>
    <n v="1448000000"/>
    <n v="0.74603414999999995"/>
    <n v="9.1"/>
    <s v="http://www.sec.gov/cgi-bin/browse-edgar?action=getcompany&amp;CIK=JWN"/>
    <n v="8.1999999999999993"/>
    <n v="1.4"/>
  </r>
  <r>
    <s v="NSC"/>
    <s v="Norfolk Southern Corp."/>
    <x v="0"/>
    <n v="136.88999999999999"/>
    <n v="20.65"/>
    <n v="2.0185029999999999"/>
    <n v="18.73"/>
    <n v="157.1499"/>
    <n v="109.27"/>
    <n v="40543547441"/>
    <n v="4737000000"/>
    <n v="3.8525908000000002"/>
    <n v="3.09"/>
    <s v="http://www.sec.gov/cgi-bin/browse-edgar?action=getcompany&amp;CIK=NSC"/>
    <n v="40.5"/>
    <n v="4.7"/>
  </r>
  <r>
    <s v="NTRS"/>
    <s v="Northern Trust Corp."/>
    <x v="5"/>
    <n v="96.2"/>
    <n v="19.96"/>
    <n v="1.6678249000000001"/>
    <n v="4.92"/>
    <n v="108.91"/>
    <n v="83.17"/>
    <n v="22908130223"/>
    <n v="0"/>
    <n v="4.0317280000000002"/>
    <n v="2.44"/>
    <s v="http://www.sec.gov/cgi-bin/browse-edgar?action=getcompany&amp;CIK=NTRS"/>
    <n v="22.9"/>
    <n v="0"/>
  </r>
  <r>
    <s v="NOC"/>
    <s v="Northrop Grumman Corp."/>
    <x v="0"/>
    <n v="324.01"/>
    <n v="24.4"/>
    <n v="1.3030858999999999"/>
    <n v="11.47"/>
    <n v="349.18"/>
    <n v="231.98"/>
    <n v="58782413951"/>
    <n v="3884000000"/>
    <n v="2.2095760000000002"/>
    <n v="7.96"/>
    <s v="http://www.sec.gov/cgi-bin/browse-edgar?action=getcompany&amp;CIK=NOC"/>
    <n v="58.8"/>
    <n v="3.9"/>
  </r>
  <r>
    <s v="NCLH"/>
    <s v="Norwegian Cruise Line"/>
    <x v="3"/>
    <n v="56.01"/>
    <n v="15.35"/>
    <n v="0"/>
    <n v="2.78"/>
    <n v="61.48"/>
    <n v="46.96"/>
    <n v="13191507318"/>
    <n v="1529401000"/>
    <n v="3.2066104000000002"/>
    <n v="2.35"/>
    <s v="http://www.sec.gov/cgi-bin/browse-edgar?action=getcompany&amp;CIK=NCLH"/>
    <n v="13.2"/>
    <n v="1.5"/>
  </r>
  <r>
    <s v="NRG"/>
    <s v="NRG Energy"/>
    <x v="4"/>
    <n v="24"/>
    <n v="17.78"/>
    <n v="1.4195584000000001"/>
    <n v="-2.23"/>
    <n v="29.78"/>
    <n v="14.52"/>
    <n v="8030036023"/>
    <n v="1774000000"/>
    <n v="0.99330209999999997"/>
    <n v="6.73"/>
    <s v="http://www.sec.gov/cgi-bin/browse-edgar?action=getcompany&amp;CIK=NRG"/>
    <n v="8"/>
    <n v="1.8"/>
  </r>
  <r>
    <s v="NUE"/>
    <s v="Nucor Corp."/>
    <x v="6"/>
    <n v="60.38"/>
    <n v="17.010000000000002"/>
    <n v="2.4157660000000001"/>
    <n v="4.0999999999999996"/>
    <n v="70.48"/>
    <n v="51.67"/>
    <n v="20003317128"/>
    <n v="2648729000"/>
    <n v="0.99837582999999996"/>
    <n v="2.34"/>
    <s v="http://www.sec.gov/cgi-bin/browse-edgar?action=getcompany&amp;CIK=NUE"/>
    <n v="20"/>
    <n v="2.6"/>
  </r>
  <r>
    <s v="NVDA"/>
    <s v="Nvidia Corporation"/>
    <x v="2"/>
    <n v="217.52"/>
    <n v="82.08"/>
    <n v="0.26223775999999999"/>
    <n v="2.57"/>
    <n v="249.27"/>
    <n v="95.17"/>
    <n v="138652800000"/>
    <n v="3098000000"/>
    <n v="20.094294000000001"/>
    <n v="20.39"/>
    <s v="http://www.sec.gov/cgi-bin/browse-edgar?action=getcompany&amp;CIK=NVDA"/>
    <n v="138.69999999999999"/>
    <n v="3.1"/>
  </r>
  <r>
    <s v="ORLY"/>
    <s v="O'Reilly Automotive"/>
    <x v="3"/>
    <n v="252.22"/>
    <n v="21.91"/>
    <n v="0"/>
    <n v="10.73"/>
    <n v="279.23"/>
    <n v="169.43"/>
    <n v="21433781860"/>
    <n v="1965187000"/>
    <n v="3.1934319000000002"/>
    <n v="34.119999999999997"/>
    <s v="http://www.sec.gov/cgi-bin/browse-edgar?action=getcompany&amp;CIK=ORLY"/>
    <n v="21.4"/>
    <n v="2"/>
  </r>
  <r>
    <s v="OXY"/>
    <s v="Occidental Petroleum"/>
    <x v="9"/>
    <n v="68.47"/>
    <n v="195.63"/>
    <n v="4.4081863999999999"/>
    <n v="-0.75"/>
    <n v="78.09"/>
    <n v="57.2"/>
    <n v="53467692395"/>
    <n v="5205000000"/>
    <n v="6.0448950000000004"/>
    <m/>
    <s v="http://www.sec.gov/cgi-bin/browse-edgar?action=getcompany&amp;CIK=OXY"/>
    <n v="53.5"/>
    <n v="5.2"/>
  </r>
  <r>
    <s v="OMC"/>
    <s v="Omnicom Group"/>
    <x v="3"/>
    <n v="75.91"/>
    <n v="15.27"/>
    <n v="3.1838684000000002"/>
    <n v="4.79"/>
    <n v="86.71"/>
    <n v="65.319999999999993"/>
    <n v="17377551986"/>
    <n v="2366000000"/>
    <n v="1.5327156"/>
    <n v="6.66"/>
    <s v="http://www.sec.gov/cgi-bin/browse-edgar?action=getcompany&amp;CIK=OMC"/>
    <n v="17.399999999999999"/>
    <n v="2.4"/>
  </r>
  <r>
    <s v="OKE"/>
    <s v="ONEOK"/>
    <x v="9"/>
    <n v="54.4"/>
    <n v="34"/>
    <n v="5.4436197000000002"/>
    <n v="1.66"/>
    <n v="61.36"/>
    <n v="47.14"/>
    <n v="21988472489"/>
    <n v="1851783000"/>
    <n v="2.6159564999999998"/>
    <n v="4.03"/>
    <s v="http://www.sec.gov/cgi-bin/browse-edgar?action=getcompany&amp;CIK=OKE"/>
    <n v="22"/>
    <n v="1.9"/>
  </r>
  <r>
    <s v="ORCL"/>
    <s v="Oracle Corp."/>
    <x v="2"/>
    <n v="46.84"/>
    <n v="18.809999999999999"/>
    <n v="1.5551463000000001"/>
    <n v="2.2000000000000002"/>
    <n v="53.14"/>
    <n v="40.01"/>
    <n v="202302349740"/>
    <n v="16545000000"/>
    <n v="5.2561646"/>
    <n v="3.56"/>
    <s v="http://www.sec.gov/cgi-bin/browse-edgar?action=getcompany&amp;CIK=ORCL"/>
    <n v="202.3"/>
    <n v="16.5"/>
  </r>
  <r>
    <s v="PCAR"/>
    <s v="PACCAR Inc."/>
    <x v="0"/>
    <n v="66.98"/>
    <n v="15.72"/>
    <n v="1.455816"/>
    <n v="4.75"/>
    <n v="79.69"/>
    <n v="61.93"/>
    <n v="24152102921"/>
    <n v="3619200000"/>
    <n v="1.2869299999999999"/>
    <n v="3.07"/>
    <s v="http://www.sec.gov/cgi-bin/browse-edgar?action=getcompany&amp;CIK=PCAR"/>
    <n v="24.2"/>
    <n v="3.6"/>
  </r>
  <r>
    <s v="PKG"/>
    <s v="Packaging Corporation of America"/>
    <x v="6"/>
    <n v="111.95"/>
    <n v="18.57"/>
    <n v="2.1514555999999998"/>
    <n v="7.07"/>
    <n v="131.13159999999999"/>
    <n v="88.47"/>
    <n v="11051273948"/>
    <n v="1214900000"/>
    <n v="1.741522"/>
    <n v="5.54"/>
    <s v="http://www.sec.gov/cgi-bin/browse-edgar?action=getcompany&amp;CIK=PKG"/>
    <n v="11.1"/>
    <n v="1.2"/>
  </r>
  <r>
    <s v="PH"/>
    <s v="Parker-Hannifin"/>
    <x v="0"/>
    <n v="174.51"/>
    <n v="21.6"/>
    <n v="1.4401832999999999"/>
    <n v="7.24"/>
    <n v="212.8"/>
    <n v="145.38"/>
    <n v="24421668509"/>
    <n v="2092089000"/>
    <n v="1.8652664000000001"/>
    <n v="4.3899999999999997"/>
    <s v="http://www.sec.gov/cgi-bin/browse-edgar?action=getcompany&amp;CIK=PH"/>
    <n v="24.4"/>
    <n v="2.1"/>
  </r>
  <r>
    <s v="PDCO"/>
    <s v="Patterson Companies"/>
    <x v="1"/>
    <n v="32.880000000000003"/>
    <n v="14.05"/>
    <n v="3.0723782000000002"/>
    <n v="1.79"/>
    <n v="48.295000000000002"/>
    <n v="32.07"/>
    <n v="3209792400"/>
    <n v="359644000"/>
    <n v="0.78727919999999996"/>
    <n v="2.34"/>
    <s v="http://www.sec.gov/cgi-bin/browse-edgar?action=getcompany&amp;CIK=PDCO"/>
    <n v="3.2"/>
    <n v="0.4"/>
  </r>
  <r>
    <s v="PAYX"/>
    <s v="Paychex Inc."/>
    <x v="2"/>
    <n v="61.86"/>
    <n v="27.49"/>
    <n v="3.0892800999999999"/>
    <n v="2.2599999999999998"/>
    <n v="73.099999999999994"/>
    <n v="54.2"/>
    <n v="23253666810"/>
    <n v="1414900000"/>
    <n v="7.2484869999999999"/>
    <n v="11.77"/>
    <s v="http://www.sec.gov/cgi-bin/browse-edgar?action=getcompany&amp;CIK=PAYX"/>
    <n v="23.3"/>
    <n v="1.4"/>
  </r>
  <r>
    <s v="PYPL"/>
    <s v="PayPal"/>
    <x v="2"/>
    <n v="72.319999999999993"/>
    <n v="49.53"/>
    <n v="0"/>
    <n v="1.47"/>
    <n v="86.32"/>
    <n v="39.92"/>
    <n v="90708000000"/>
    <n v="2932000000"/>
    <n v="6.9356960000000001"/>
    <n v="5.81"/>
    <s v="http://www.sec.gov/cgi-bin/browse-edgar?action=getcompany&amp;CIK=PYPL"/>
    <n v="90.7"/>
    <n v="2.9"/>
  </r>
  <r>
    <s v="PNR"/>
    <s v="Pentair Ltd."/>
    <x v="0"/>
    <n v="66.67"/>
    <n v="18.89"/>
    <n v="2.0393300000000001"/>
    <n v="3.63"/>
    <n v="74.84"/>
    <n v="57.63"/>
    <n v="12466660892"/>
    <n v="863700000"/>
    <n v="2.5191512"/>
    <n v="2.48"/>
    <s v="http://www.sec.gov/cgi-bin/browse-edgar?action=getcompany&amp;CIK=PNR"/>
    <n v="12.5"/>
    <n v="0.9"/>
  </r>
  <r>
    <s v="PBCT"/>
    <s v="People's United Financial"/>
    <x v="5"/>
    <n v="18.559999999999999"/>
    <n v="18.02"/>
    <n v="3.59375"/>
    <n v="0.97"/>
    <n v="20.14"/>
    <n v="15.965"/>
    <n v="6527616000"/>
    <n v="0"/>
    <n v="3.9272703999999998"/>
    <n v="1.17"/>
    <s v="http://www.sec.gov/cgi-bin/browse-edgar?action=getcompany&amp;CIK=PBCT"/>
    <n v="6.5"/>
    <n v="0"/>
  </r>
  <r>
    <s v="PEP"/>
    <s v="PepsiCo Inc."/>
    <x v="8"/>
    <n v="110.15"/>
    <n v="21.51"/>
    <n v="2.8370044000000001"/>
    <n v="4.3600000000000003"/>
    <n v="122.51"/>
    <n v="104.77"/>
    <n v="161413271020"/>
    <n v="12843000000"/>
    <n v="3.6705062000000002"/>
    <m/>
    <s v="http://www.sec.gov/cgi-bin/browse-edgar?action=getcompany&amp;CIK=PEP"/>
    <n v="161.4"/>
    <n v="12.8"/>
  </r>
  <r>
    <s v="PKI"/>
    <s v="PerkinElmer"/>
    <x v="1"/>
    <n v="72.06"/>
    <n v="24.68"/>
    <n v="0.36953940000000002"/>
    <n v="2.64"/>
    <n v="84.49"/>
    <n v="52.63"/>
    <n v="8351767268"/>
    <n v="445658000"/>
    <n v="3.7116463"/>
    <n v="3.25"/>
    <s v="http://www.sec.gov/cgi-bin/browse-edgar?action=getcompany&amp;CIK=PKI"/>
    <n v="8.4"/>
    <n v="0.4"/>
  </r>
  <r>
    <s v="PRGO"/>
    <s v="Perrigo"/>
    <x v="1"/>
    <n v="84.44"/>
    <m/>
    <n v="0.73126142999999999"/>
    <n v="-28.01"/>
    <n v="95.93"/>
    <n v="63.68"/>
    <n v="12326379902"/>
    <n v="0"/>
    <n v="3.3850066999999999"/>
    <n v="2.0299999999999998"/>
    <s v="http://www.sec.gov/cgi-bin/browse-edgar?action=getcompany&amp;CIK=PRGO"/>
    <n v="12.3"/>
    <n v="0"/>
  </r>
  <r>
    <s v="PFE"/>
    <s v="Pfizer Inc."/>
    <x v="1"/>
    <n v="33.630000000000003"/>
    <n v="12.69"/>
    <n v="3.8879359"/>
    <n v="3.51"/>
    <n v="39.43"/>
    <n v="31.67"/>
    <n v="208505541949"/>
    <n v="20569000000"/>
    <n v="4.0020885000000002"/>
    <n v="3.4"/>
    <s v="http://www.sec.gov/cgi-bin/browse-edgar?action=getcompany&amp;CIK=PFE"/>
    <n v="208.5"/>
    <n v="20.6"/>
  </r>
  <r>
    <s v="PCG"/>
    <s v="PG&amp;E Corp."/>
    <x v="4"/>
    <n v="38.24"/>
    <n v="8.75"/>
    <n v="0"/>
    <n v="2.78"/>
    <n v="71.569999999999993"/>
    <n v="38.450000000000003"/>
    <n v="20309412381"/>
    <n v="6471000000"/>
    <n v="1.5730644"/>
    <n v="1.0900000000000001"/>
    <s v="http://www.sec.gov/cgi-bin/browse-edgar?action=getcompany&amp;CIK=PCG"/>
    <n v="20.3"/>
    <n v="6.5"/>
  </r>
  <r>
    <s v="PM"/>
    <s v="Philip Morris International"/>
    <x v="8"/>
    <n v="100.39"/>
    <n v="22.36"/>
    <n v="4.3284789999999997"/>
    <n v="4.4800000000000004"/>
    <n v="123.55"/>
    <n v="96.66"/>
    <n v="153580671803"/>
    <n v="11802000000"/>
    <n v="2.7574684999999999"/>
    <n v="1318.7"/>
    <s v="http://www.sec.gov/cgi-bin/browse-edgar?action=getcompany&amp;CIK=PM"/>
    <n v="153.6"/>
    <n v="11.8"/>
  </r>
  <r>
    <s v="PSX"/>
    <s v="Phillips 66"/>
    <x v="9"/>
    <n v="92.44"/>
    <n v="21.11"/>
    <n v="2.9285640000000002"/>
    <n v="9.93"/>
    <n v="107.47"/>
    <n v="75.135000000000005"/>
    <n v="47996220000"/>
    <n v="5311000000"/>
    <n v="0.47499471999999998"/>
    <n v="2.12"/>
    <s v="http://www.sec.gov/cgi-bin/browse-edgar?action=getcompany&amp;CIK=PSX"/>
    <n v="48"/>
    <n v="5.3"/>
  </r>
  <r>
    <s v="PNW"/>
    <s v="Pinnacle West Capital"/>
    <x v="4"/>
    <n v="74.34"/>
    <n v="16.059999999999999"/>
    <n v="3.6987760000000001"/>
    <n v="3.95"/>
    <n v="92.48"/>
    <n v="73.81"/>
    <n v="8397609889"/>
    <n v="1614399000"/>
    <n v="2.9931207"/>
    <n v="1.65"/>
    <s v="http://www.sec.gov/cgi-bin/browse-edgar?action=getcompany&amp;CIK=PNW"/>
    <n v="8.4"/>
    <n v="1.6"/>
  </r>
  <r>
    <s v="PXD"/>
    <s v="Pioneer Natural Resources"/>
    <x v="9"/>
    <n v="169.16"/>
    <n v="118.29"/>
    <n v="0.18161179999999999"/>
    <n v="-3.39"/>
    <n v="199.83"/>
    <n v="125.46"/>
    <n v="29983119693"/>
    <n v="1717000000"/>
    <n v="6.7890477000000002"/>
    <n v="2.76"/>
    <s v="http://www.sec.gov/cgi-bin/browse-edgar?action=getcompany&amp;CIK=PXD"/>
    <n v="30"/>
    <n v="1.7"/>
  </r>
  <r>
    <s v="PNC"/>
    <s v="PNC Financial Services"/>
    <x v="5"/>
    <n v="149.38"/>
    <n v="17.55"/>
    <n v="1.9354838000000001"/>
    <n v="10.4"/>
    <n v="160.07"/>
    <n v="115.25"/>
    <n v="73315000000"/>
    <n v="0"/>
    <n v="4.0465299999999997"/>
    <n v="1.53"/>
    <s v="http://www.sec.gov/cgi-bin/browse-edgar?action=getcompany&amp;CIK=PNC"/>
    <n v="73.3"/>
    <n v="0"/>
  </r>
  <r>
    <s v="RL"/>
    <s v="Polo Ralph Lauren Corp."/>
    <x v="3"/>
    <n v="101.32"/>
    <n v="17.739999999999998"/>
    <n v="1.8570101999999999"/>
    <n v="-1.19"/>
    <n v="119.33"/>
    <n v="66.06"/>
    <n v="8753430477"/>
    <n v="506100000"/>
    <n v="1.3948758000000001"/>
    <n v="2.44"/>
    <s v="http://www.sec.gov/cgi-bin/browse-edgar?action=getcompany&amp;CIK=RL"/>
    <n v="8.8000000000000007"/>
    <n v="0.5"/>
  </r>
  <r>
    <s v="PPG"/>
    <s v="PPG Industries"/>
    <x v="6"/>
    <n v="110.3"/>
    <n v="18.73"/>
    <n v="1.5771489000000001"/>
    <n v="6.31"/>
    <n v="122.0697"/>
    <n v="99.57"/>
    <n v="29043337549"/>
    <n v="2585000000"/>
    <n v="1.9551050999999999"/>
    <n v="4.83"/>
    <s v="http://www.sec.gov/cgi-bin/browse-edgar?action=getcompany&amp;CIK=PPG"/>
    <n v="29"/>
    <n v="2.6"/>
  </r>
  <r>
    <s v="PPL"/>
    <s v="PPL Corp."/>
    <x v="4"/>
    <n v="29.52"/>
    <n v="12.83"/>
    <n v="5.2196894"/>
    <n v="2.79"/>
    <n v="40.200000000000003"/>
    <n v="29.204999999999998"/>
    <n v="20839814845"/>
    <n v="3937000000"/>
    <n v="3.7497053"/>
    <n v="1.95"/>
    <s v="http://www.sec.gov/cgi-bin/browse-edgar?action=getcompany&amp;CIK=PPL"/>
    <n v="20.8"/>
    <n v="3.9"/>
  </r>
  <r>
    <s v="PX"/>
    <s v="Praxair Inc."/>
    <x v="6"/>
    <n v="144.07"/>
    <n v="24.63"/>
    <n v="2.1998533999999998"/>
    <n v="4.32"/>
    <n v="166.95"/>
    <n v="115.53"/>
    <n v="42948664203"/>
    <n v="3632000000"/>
    <n v="3.887915"/>
    <n v="6.88"/>
    <s v="http://www.sec.gov/cgi-bin/browse-edgar?action=getcompany&amp;CIK=PX"/>
    <n v="42.9"/>
    <n v="3.6"/>
  </r>
  <r>
    <s v="PCLN"/>
    <s v="Priceline.com Inc"/>
    <x v="3"/>
    <n v="1806.06"/>
    <n v="24.26"/>
    <n v="0"/>
    <n v="42.66"/>
    <n v="2067.9899999999998"/>
    <n v="1589"/>
    <n v="91817448863"/>
    <n v="4803487000"/>
    <n v="9.1765640000000008"/>
    <n v="6.92"/>
    <s v="http://www.sec.gov/cgi-bin/browse-edgar?action=getcompany&amp;CIK=PCLN"/>
    <n v="91.8"/>
    <n v="4.8"/>
  </r>
  <r>
    <s v="PFG"/>
    <s v="Principal Financial Group"/>
    <x v="5"/>
    <n v="60.38"/>
    <n v="11.96"/>
    <n v="3.1914894999999999"/>
    <n v="4.5"/>
    <n v="75.584999999999994"/>
    <n v="58.940100000000001"/>
    <n v="18457199721"/>
    <n v="0"/>
    <n v="1.7167546"/>
    <n v="1.53"/>
    <s v="http://www.sec.gov/cgi-bin/browse-edgar?action=getcompany&amp;CIK=PFG"/>
    <n v="18.5"/>
    <n v="0"/>
  </r>
  <r>
    <s v="PG"/>
    <s v="Procter &amp; Gamble"/>
    <x v="8"/>
    <n v="80.22"/>
    <n v="20.46"/>
    <n v="3.3704789000000002"/>
    <n v="5.6"/>
    <n v="94.67"/>
    <n v="80.099999999999994"/>
    <n v="206318943299"/>
    <n v="17249000000"/>
    <n v="3.1595004000000002"/>
    <n v="3.85"/>
    <s v="http://www.sec.gov/cgi-bin/browse-edgar?action=getcompany&amp;CIK=PG"/>
    <n v="206.3"/>
    <n v="17.2"/>
  </r>
  <r>
    <s v="PGR"/>
    <s v="Progressive Corp."/>
    <x v="5"/>
    <n v="51.07"/>
    <n v="20.76"/>
    <n v="2.1061797000000002"/>
    <n v="2.73"/>
    <n v="58.25"/>
    <n v="36.840000000000003"/>
    <n v="31062780000"/>
    <n v="0"/>
    <n v="1.1458876"/>
    <n v="3.25"/>
    <s v="http://www.sec.gov/cgi-bin/browse-edgar?action=getcompany&amp;CIK=PGR"/>
    <n v="31.1"/>
    <n v="0"/>
  </r>
  <r>
    <s v="PLD"/>
    <s v="Prologis"/>
    <x v="7"/>
    <n v="58.33"/>
    <n v="20.76"/>
    <n v="2.9313790000000002"/>
    <n v="3.06"/>
    <n v="67.53"/>
    <n v="48.69"/>
    <n v="31953288000"/>
    <n v="2969194000"/>
    <n v="14.380373000000001"/>
    <n v="2.11"/>
    <s v="http://www.sec.gov/cgi-bin/browse-edgar?action=getcompany&amp;CIK=PLD"/>
    <n v="32"/>
    <n v="3"/>
  </r>
  <r>
    <s v="PRU"/>
    <s v="Prudential Financial"/>
    <x v="5"/>
    <n v="103.38"/>
    <n v="9.99"/>
    <n v="2.6985698"/>
    <n v="9.73"/>
    <n v="127.14"/>
    <n v="97.88"/>
    <n v="47136080000"/>
    <n v="0"/>
    <n v="1.0837270000000001"/>
    <n v="0.93"/>
    <s v="http://www.sec.gov/cgi-bin/browse-edgar?action=getcompany&amp;CIK=PRU"/>
    <n v="47.1"/>
    <n v="0"/>
  </r>
  <r>
    <s v="PEG"/>
    <s v="Public Serv. Enterprise Inc."/>
    <x v="4"/>
    <n v="46.73"/>
    <n v="16.11"/>
    <n v="3.6058699999999999"/>
    <n v="1.75"/>
    <n v="53.28"/>
    <n v="41.67"/>
    <n v="24138050331"/>
    <n v="3613000000"/>
    <n v="3.4491453000000001"/>
    <n v="1.88"/>
    <s v="http://www.sec.gov/cgi-bin/browse-edgar?action=getcompany&amp;CIK=PEG"/>
    <n v="24.1"/>
    <n v="3.6"/>
  </r>
  <r>
    <s v="PSA"/>
    <s v="Public Storage"/>
    <x v="7"/>
    <n v="180.49"/>
    <n v="18.21"/>
    <n v="4.3161589999999999"/>
    <n v="6.81"/>
    <n v="232.21"/>
    <n v="180.9254"/>
    <n v="32258539942"/>
    <n v="1924803000"/>
    <n v="16.164169999999999"/>
    <n v="6.56"/>
    <s v="http://www.sec.gov/cgi-bin/browse-edgar?action=getcompany&amp;CIK=PSA"/>
    <n v="32.299999999999997"/>
    <n v="1.9"/>
  </r>
  <r>
    <s v="PHM"/>
    <s v="Pulte Homes Inc."/>
    <x v="3"/>
    <n v="28.67"/>
    <n v="12.86"/>
    <n v="1.2036108000000001"/>
    <n v="1.44"/>
    <n v="35.21"/>
    <n v="21.06"/>
    <n v="8792572352"/>
    <n v="992811000"/>
    <n v="1.0341544"/>
    <n v="1.99"/>
    <s v="http://www.sec.gov/cgi-bin/browse-edgar?action=getcompany&amp;CIK=PHM"/>
    <n v="8.8000000000000007"/>
    <n v="1"/>
  </r>
  <r>
    <s v="PVH"/>
    <s v="PVH Corp."/>
    <x v="3"/>
    <n v="142.68"/>
    <n v="20.98"/>
    <n v="0.100529455"/>
    <n v="6.77"/>
    <n v="157.96"/>
    <n v="84.53"/>
    <n v="11478625926"/>
    <n v="1057500000"/>
    <n v="1.7617522000000001"/>
    <n v="2.14"/>
    <s v="http://www.sec.gov/cgi-bin/browse-edgar?action=getcompany&amp;CIK=PVH"/>
    <n v="11.5"/>
    <n v="1.1000000000000001"/>
  </r>
  <r>
    <s v="QRVO"/>
    <s v="Qorvo"/>
    <x v="2"/>
    <n v="76.849999999999994"/>
    <n v="19.71"/>
    <n v="0"/>
    <n v="-0.13"/>
    <n v="85.24"/>
    <n v="62.68"/>
    <n v="9877885146"/>
    <n v="806875000"/>
    <n v="3.3891420000000001"/>
    <n v="1.98"/>
    <s v="http://www.sec.gov/cgi-bin/browse-edgar?action=getcompany&amp;CIK=QRVO"/>
    <n v="9.9"/>
    <n v="0.8"/>
  </r>
  <r>
    <s v="QCOM"/>
    <s v="QUALCOMM Inc."/>
    <x v="2"/>
    <n v="62.42"/>
    <n v="16.510000000000002"/>
    <n v="3.5055350999999999"/>
    <n v="1.65"/>
    <n v="69.28"/>
    <n v="48.92"/>
    <n v="96282828902"/>
    <n v="4191000000"/>
    <n v="4.2636580000000004"/>
    <n v="3.82"/>
    <s v="http://www.sec.gov/cgi-bin/browse-edgar?action=getcompany&amp;CIK=QCOM"/>
    <n v="96.3"/>
    <n v="4.2"/>
  </r>
  <r>
    <s v="PWR"/>
    <s v="Quanta Services Inc."/>
    <x v="0"/>
    <n v="33.51"/>
    <n v="17.54"/>
    <n v="0"/>
    <n v="1.28"/>
    <n v="40.104999999999997"/>
    <n v="30.23"/>
    <n v="5330131216"/>
    <n v="649404000"/>
    <n v="0.77893436000000005"/>
    <n v="1.43"/>
    <s v="http://www.sec.gov/cgi-bin/browse-edgar?action=getcompany&amp;CIK=PWR"/>
    <n v="5.3"/>
    <n v="0.6"/>
  </r>
  <r>
    <s v="DGX"/>
    <s v="Quest Diagnostics"/>
    <x v="1"/>
    <n v="96.42"/>
    <n v="17.07"/>
    <n v="1.9884668999999999"/>
    <n v="5.5"/>
    <n v="112.965"/>
    <n v="90.1"/>
    <n v="13578300000"/>
    <n v="1453000000"/>
    <n v="1.7709883"/>
    <n v="2.82"/>
    <s v="http://www.sec.gov/cgi-bin/browse-edgar?action=getcompany&amp;CIK=DGX"/>
    <n v="13.6"/>
    <n v="1.5"/>
  </r>
  <r>
    <s v="RRC"/>
    <s v="Range Resources Corp."/>
    <x v="9"/>
    <n v="12.82"/>
    <n v="35.61"/>
    <n v="0.60975610000000002"/>
    <n v="-2.79"/>
    <n v="34.090000000000003"/>
    <n v="12.7"/>
    <n v="3255587970"/>
    <n v="820095000"/>
    <n v="1.9624339"/>
    <n v="0.59"/>
    <s v="http://www.sec.gov/cgi-bin/browse-edgar?action=getcompany&amp;CIK=RRC"/>
    <n v="3.3"/>
    <n v="0.8"/>
  </r>
  <r>
    <s v="RJF"/>
    <s v="Raymond James Financial Inc."/>
    <x v="5"/>
    <n v="86.06"/>
    <n v="16.940000000000001"/>
    <n v="1.0982976"/>
    <n v="4.12"/>
    <n v="99.1"/>
    <n v="71.349999999999994"/>
    <n v="13216271700"/>
    <n v="0"/>
    <n v="1.9734555"/>
    <n v="2.34"/>
    <s v="http://www.sec.gov/cgi-bin/browse-edgar?action=getcompany&amp;CIK=RJF"/>
    <n v="13.2"/>
    <n v="0"/>
  </r>
  <r>
    <s v="RTN"/>
    <s v="Raytheon Co."/>
    <x v="0"/>
    <n v="198.74"/>
    <n v="25.78"/>
    <n v="1.5612763999999999"/>
    <n v="6.95"/>
    <n v="213.45"/>
    <n v="147.86000000000001"/>
    <n v="59066255840"/>
    <n v="3868000000"/>
    <n v="2.2938328000000001"/>
    <n v="5.28"/>
    <s v="http://www.sec.gov/cgi-bin/browse-edgar?action=getcompany&amp;CIK=RTN"/>
    <n v="59.1"/>
    <n v="3.9"/>
  </r>
  <r>
    <s v="O"/>
    <s v="Realty Income Corporation"/>
    <x v="7"/>
    <n v="47.56"/>
    <n v="15.54"/>
    <n v="5.3720359999999996"/>
    <n v="1.1200000000000001"/>
    <n v="63.6"/>
    <n v="48.89"/>
    <n v="13784942453"/>
    <n v="1075568000"/>
    <n v="15.588069000000001"/>
    <n v="1.92"/>
    <s v="http://www.sec.gov/cgi-bin/browse-edgar?action=getcompany&amp;CIK=O"/>
    <n v="13.8"/>
    <n v="1.1000000000000001"/>
  </r>
  <r>
    <s v="RHT"/>
    <s v="Red Hat Inc."/>
    <x v="2"/>
    <n v="124.65"/>
    <n v="79.900000000000006"/>
    <n v="0"/>
    <n v="1.68"/>
    <n v="135.77000000000001"/>
    <n v="78.48"/>
    <n v="22799923883"/>
    <n v="541809000"/>
    <n v="8.2020769999999992"/>
    <n v="15.69"/>
    <s v="http://www.sec.gov/cgi-bin/browse-edgar?action=getcompany&amp;CIK=RHT"/>
    <n v="22.8"/>
    <n v="0.5"/>
  </r>
  <r>
    <s v="REG"/>
    <s v="Regency Centers Corporation"/>
    <x v="7"/>
    <n v="55.58"/>
    <n v="15.27"/>
    <n v="3.6850337999999998"/>
    <n v="1.43"/>
    <n v="72.05"/>
    <n v="56.66"/>
    <n v="9858367494"/>
    <n v="487636000"/>
    <n v="13.762162"/>
    <n v="1.51"/>
    <s v="http://www.sec.gov/cgi-bin/browse-edgar?action=getcompany&amp;CIK=REG"/>
    <n v="9.9"/>
    <n v="0.5"/>
  </r>
  <r>
    <s v="REGN"/>
    <s v="Regeneron"/>
    <x v="1"/>
    <n v="322.62"/>
    <n v="27.93"/>
    <n v="0"/>
    <n v="7.74"/>
    <n v="543.55179999999996"/>
    <n v="319.5"/>
    <n v="35950369241"/>
    <n v="2043160000"/>
    <n v="8.4854099999999999"/>
    <n v="5.89"/>
    <s v="http://www.sec.gov/cgi-bin/browse-edgar?action=getcompany&amp;CIK=REGN"/>
    <n v="36"/>
    <n v="2"/>
  </r>
  <r>
    <s v="RF"/>
    <s v="Regions Financial Corp."/>
    <x v="5"/>
    <n v="17.899999999999999"/>
    <n v="17.899999999999999"/>
    <n v="1.8987342"/>
    <n v="1"/>
    <n v="19.899999999999999"/>
    <n v="13"/>
    <n v="21500640000"/>
    <n v="0"/>
    <n v="3.4747710000000001"/>
    <n v="1.32"/>
    <s v="http://www.sec.gov/cgi-bin/browse-edgar?action=getcompany&amp;CIK=RF"/>
    <n v="21.5"/>
    <n v="0"/>
  </r>
  <r>
    <s v="RSG"/>
    <s v="Republic Services Inc"/>
    <x v="0"/>
    <n v="62.72"/>
    <n v="26.13"/>
    <n v="2.1362228000000001"/>
    <n v="1.77"/>
    <n v="69.400000000000006"/>
    <n v="57.53"/>
    <n v="21590903863"/>
    <n v="2734000000"/>
    <n v="2.8841185999999999"/>
    <n v="2.83"/>
    <s v="http://www.sec.gov/cgi-bin/browse-edgar?action=getcompany&amp;CIK=RSG"/>
    <n v="21.6"/>
    <n v="2.7"/>
  </r>
  <r>
    <s v="RMD"/>
    <s v="ResMed"/>
    <x v="1"/>
    <n v="89.26"/>
    <n v="31.54"/>
    <n v="1.5120423000000001"/>
    <n v="2.41"/>
    <n v="104.78"/>
    <n v="67.040000000000006"/>
    <n v="13233622689"/>
    <n v="636942000"/>
    <n v="6.1640686999999996"/>
    <n v="6.61"/>
    <s v="http://www.sec.gov/cgi-bin/browse-edgar?action=getcompany&amp;CIK=RMD"/>
    <n v="13.2"/>
    <n v="0.6"/>
  </r>
  <r>
    <s v="RHI"/>
    <s v="Robert Half International"/>
    <x v="0"/>
    <n v="52.26"/>
    <n v="20.18"/>
    <n v="1.7075773000000001"/>
    <n v="2.3199999999999998"/>
    <n v="60.59"/>
    <n v="42.92"/>
    <n v="7047165475"/>
    <n v="565196000"/>
    <n v="1.3330401999999999"/>
    <n v="5.98"/>
    <s v="http://www.sec.gov/cgi-bin/browse-edgar?action=getcompany&amp;CIK=RHI"/>
    <n v="7"/>
    <n v="0.6"/>
  </r>
  <r>
    <s v="ROK"/>
    <s v="Rockwell Automation Inc."/>
    <x v="0"/>
    <n v="178.73"/>
    <n v="26.48"/>
    <n v="1.7692551999999999"/>
    <n v="6.35"/>
    <n v="210.72"/>
    <n v="147.66999999999999"/>
    <n v="24123216432"/>
    <n v="1323200000"/>
    <n v="3.7605940000000002"/>
    <n v="10.94"/>
    <s v="http://www.sec.gov/cgi-bin/browse-edgar?action=getcompany&amp;CIK=ROK"/>
    <n v="24.1"/>
    <n v="1.3"/>
  </r>
  <r>
    <s v="COL"/>
    <s v="Rockwell Collins"/>
    <x v="0"/>
    <n v="133.31"/>
    <n v="22.29"/>
    <n v="0.97488920000000001"/>
    <n v="4.8"/>
    <n v="139.63"/>
    <n v="89.9"/>
    <n v="22197870556"/>
    <n v="1696000000"/>
    <n v="3.7812730000000001"/>
    <n v="3.46"/>
    <s v="http://www.sec.gov/cgi-bin/browse-edgar?action=getcompany&amp;CIK=COL"/>
    <n v="22.2"/>
    <n v="1.7"/>
  </r>
  <r>
    <s v="ROP"/>
    <s v="Roper Technologies"/>
    <x v="0"/>
    <n v="259.39999999999998"/>
    <n v="27.57"/>
    <n v="0.61985796999999998"/>
    <n v="9.3800000000000008"/>
    <n v="290.41500000000002"/>
    <n v="191.22"/>
    <n v="27247789759"/>
    <n v="1555209000"/>
    <n v="5.9715904999999996"/>
    <n v="4.2300000000000004"/>
    <s v="http://www.sec.gov/cgi-bin/browse-edgar?action=getcompany&amp;CIK=ROP"/>
    <n v="27.2"/>
    <n v="1.6"/>
  </r>
  <r>
    <s v="ROST"/>
    <s v="Ross Stores"/>
    <x v="3"/>
    <n v="75.06"/>
    <n v="26.52"/>
    <n v="0.82061803"/>
    <n v="2.83"/>
    <n v="85.66"/>
    <n v="52.85"/>
    <n v="29803566306"/>
    <n v="2247009000"/>
    <n v="2.9734495000000001"/>
    <n v="10.28"/>
    <s v="http://www.sec.gov/cgi-bin/browse-edgar?action=getcompany&amp;CIK=ROST"/>
    <n v="29.8"/>
    <n v="2.2000000000000002"/>
  </r>
  <r>
    <s v="RCL"/>
    <s v="Royal Caribbean Cruises Ltd"/>
    <x v="3"/>
    <n v="122.45"/>
    <n v="16.260000000000002"/>
    <n v="1.8674135999999999"/>
    <n v="7.53"/>
    <n v="135.65"/>
    <n v="93.4"/>
    <n v="27418147452"/>
    <n v="2876309000"/>
    <n v="3.1026611000000002"/>
    <n v="2.56"/>
    <s v="http://www.sec.gov/cgi-bin/browse-edgar?action=getcompany&amp;CIK=RCL"/>
    <n v="27.4"/>
    <n v="2.9"/>
  </r>
  <r>
    <s v="SPGI"/>
    <s v="S&amp;P Global, Inc."/>
    <x v="5"/>
    <n v="173.31"/>
    <n v="27.38"/>
    <n v="1.0947506"/>
    <n v="7.95"/>
    <n v="185.38"/>
    <n v="124.64"/>
    <n v="46585950000"/>
    <n v="3021000000"/>
    <n v="10.254704"/>
    <n v="50.56"/>
    <s v="http://www.sec.gov/cgi-bin/browse-edgar?action=getcompany&amp;CIK=SPGI"/>
    <n v="46.6"/>
    <n v="3"/>
  </r>
  <r>
    <s v="CRM"/>
    <s v="Salesforce.com"/>
    <x v="2"/>
    <n v="104.03"/>
    <n v="520.15"/>
    <n v="0"/>
    <n v="0.27"/>
    <n v="114.52"/>
    <n v="79.63"/>
    <n v="79489115000"/>
    <n v="925804000"/>
    <n v="10.3738785"/>
    <n v="8.81"/>
    <s v="http://www.sec.gov/cgi-bin/browse-edgar?action=getcompany&amp;CIK=CRM"/>
    <n v="79.5"/>
    <n v="0.9"/>
  </r>
  <r>
    <s v="SBAC"/>
    <s v="SBA Communications"/>
    <x v="7"/>
    <n v="159.85"/>
    <n v="199.81"/>
    <n v="0"/>
    <n v="0.62"/>
    <n v="177.67"/>
    <n v="103.51"/>
    <n v="19572031314"/>
    <n v="1074240000"/>
    <n v="15.189207"/>
    <n v="91.04"/>
    <s v="http://www.sec.gov/cgi-bin/browse-edgar?action=getcompany&amp;CIK=SBAC"/>
    <n v="19.600000000000001"/>
    <n v="1.1000000000000001"/>
  </r>
  <r>
    <s v="SCG"/>
    <s v="SCANA Corp"/>
    <x v="4"/>
    <n v="35.6"/>
    <n v="8.75"/>
    <n v="6.6830334999999996"/>
    <n v="4.16"/>
    <n v="71.28"/>
    <n v="35.31"/>
    <n v="5229448882"/>
    <n v="1459000000"/>
    <n v="1.651705"/>
    <n v="0.92"/>
    <s v="http://www.sec.gov/cgi-bin/browse-edgar?action=getcompany&amp;CIK=SCG"/>
    <n v="5.2"/>
    <n v="1.5"/>
  </r>
  <r>
    <s v="SLB"/>
    <s v="Schlumberger Ltd."/>
    <x v="9"/>
    <n v="67.400000000000006"/>
    <n v="44.93"/>
    <n v="2.8673834999999999"/>
    <n v="-1.08"/>
    <n v="82.71"/>
    <n v="61.02"/>
    <n v="96529311126"/>
    <n v="3222000000"/>
    <n v="3.2297828000000002"/>
    <n v="2.64"/>
    <s v="http://www.sec.gov/cgi-bin/browse-edgar?action=getcompany&amp;CIK=SLB"/>
    <n v="96.5"/>
    <n v="3.2"/>
  </r>
  <r>
    <s v="SNI"/>
    <s v="Scripps Networks Interactive Inc."/>
    <x v="3"/>
    <n v="86.46"/>
    <n v="16.04"/>
    <n v="1.3761467999999999"/>
    <n v="5.18"/>
    <n v="88.87"/>
    <n v="64.87"/>
    <n v="11328642413"/>
    <n v="1351059000"/>
    <n v="4.3740790000000001"/>
    <n v="4.22"/>
    <s v="http://www.sec.gov/cgi-bin/browse-edgar?action=getcompany&amp;CIK=SNI"/>
    <n v="11.3"/>
    <n v="1.4"/>
  </r>
  <r>
    <s v="STX"/>
    <s v="Seagate Technology"/>
    <x v="2"/>
    <n v="47.44"/>
    <n v="11.51"/>
    <n v="5.0857720000000004"/>
    <n v="2.58"/>
    <n v="56.45"/>
    <n v="30.6"/>
    <n v="14113197720"/>
    <n v="1811000000"/>
    <n v="1.3048557999999999"/>
    <n v="13.33"/>
    <s v="http://www.sec.gov/cgi-bin/browse-edgar?action=getcompany&amp;CIK=STX"/>
    <n v="14.1"/>
    <n v="1.8"/>
  </r>
  <r>
    <s v="SEE"/>
    <s v="Sealed Air"/>
    <x v="6"/>
    <n v="42.62"/>
    <n v="21.31"/>
    <n v="1.4427411999999999"/>
    <n v="2.46"/>
    <n v="50.62"/>
    <n v="41.22"/>
    <n v="8001938397"/>
    <n v="969700000"/>
    <n v="2.4700066999999999"/>
    <n v="10.55"/>
    <s v="http://www.sec.gov/cgi-bin/browse-edgar?action=getcompany&amp;CIK=SEE"/>
    <n v="8"/>
    <n v="1"/>
  </r>
  <r>
    <s v="SRE"/>
    <s v="Sempra Energy"/>
    <x v="4"/>
    <n v="103.36"/>
    <n v="19.14"/>
    <n v="3.1607262999999999"/>
    <n v="5.45"/>
    <n v="122.97499999999999"/>
    <n v="100.63"/>
    <n v="26163862235"/>
    <n v="3763000000"/>
    <n v="3.1530300000000002"/>
    <n v="1.98"/>
    <s v="http://www.sec.gov/cgi-bin/browse-edgar?action=getcompany&amp;CIK=SRE"/>
    <n v="26.2"/>
    <n v="3.8"/>
  </r>
  <r>
    <s v="SHW"/>
    <s v="Sherwin-Williams"/>
    <x v="6"/>
    <n v="387.65"/>
    <n v="26.75"/>
    <n v="0.8426688"/>
    <n v="18.61"/>
    <n v="435.15"/>
    <n v="302.01010000000002"/>
    <n v="37730994828"/>
    <n v="2160668000"/>
    <n v="2.5276076999999999"/>
    <n v="13.42"/>
    <s v="http://www.sec.gov/cgi-bin/browse-edgar?action=getcompany&amp;CIK=SHW"/>
    <n v="37.700000000000003"/>
    <n v="2.2000000000000002"/>
  </r>
  <r>
    <s v="SIG"/>
    <s v="Signet Jewelers"/>
    <x v="3"/>
    <n v="49.38"/>
    <n v="6.65"/>
    <n v="2.4730753999999999"/>
    <n v="7.03"/>
    <n v="77.94"/>
    <n v="46.09"/>
    <n v="3034275549"/>
    <n v="852700000"/>
    <n v="0.75646990000000003"/>
    <n v="1.38"/>
    <s v="http://www.sec.gov/cgi-bin/browse-edgar?action=getcompany&amp;CIK=SIG"/>
    <n v="3"/>
    <n v="0.9"/>
  </r>
  <r>
    <s v="SPG"/>
    <s v="Simon Property Group Inc"/>
    <x v="7"/>
    <n v="152.18"/>
    <n v="13.56"/>
    <n v="5.0368075000000001"/>
    <n v="6.25"/>
    <n v="187.35"/>
    <n v="150.15"/>
    <n v="48139839531"/>
    <n v="4411515000"/>
    <n v="8.7544950000000004"/>
    <n v="13.24"/>
    <s v="http://www.sec.gov/cgi-bin/browse-edgar?action=getcompany&amp;CIK=SPG"/>
    <n v="48.1"/>
    <n v="4.4000000000000004"/>
  </r>
  <r>
    <s v="SWKS"/>
    <s v="Skyworks Solutions"/>
    <x v="2"/>
    <n v="99.04"/>
    <n v="16.45"/>
    <n v="1.2629501999999999"/>
    <n v="5.41"/>
    <n v="117.65"/>
    <n v="90.53"/>
    <n v="18493080922"/>
    <n v="1122900000"/>
    <n v="6.9704436999999997"/>
    <n v="4.25"/>
    <s v="http://www.sec.gov/cgi-bin/browse-edgar?action=getcompany&amp;CIK=SWKS"/>
    <n v="18.5"/>
    <n v="1.1000000000000001"/>
  </r>
  <r>
    <s v="SLG"/>
    <s v="SL Green Realty"/>
    <x v="7"/>
    <n v="90.61"/>
    <n v="14.07"/>
    <n v="3.4998922000000001"/>
    <n v="0.88"/>
    <n v="115.34"/>
    <n v="91.2"/>
    <n v="8617714345"/>
    <n v="795889000"/>
    <n v="6.5820084000000003"/>
    <n v="1.32"/>
    <s v="http://www.sec.gov/cgi-bin/browse-edgar?action=getcompany&amp;CIK=SLG"/>
    <n v="8.6"/>
    <n v="0.8"/>
  </r>
  <r>
    <s v="SNA"/>
    <s v="Snap-On Inc."/>
    <x v="3"/>
    <n v="156.72"/>
    <n v="15.81"/>
    <n v="1.9684330000000001"/>
    <n v="9.1999999999999993"/>
    <n v="185.47"/>
    <n v="140.83000000000001"/>
    <n v="9499107736"/>
    <n v="982200000"/>
    <n v="3.5114812999999998"/>
    <n v="3.21"/>
    <s v="http://www.sec.gov/cgi-bin/browse-edgar?action=getcompany&amp;CIK=SNA"/>
    <n v="9.5"/>
    <n v="1"/>
  </r>
  <r>
    <s v="SO"/>
    <s v="Southern Co."/>
    <x v="4"/>
    <n v="43.4"/>
    <n v="15.78"/>
    <n v="5.3530226000000001"/>
    <n v="2.5299999999999998"/>
    <n v="53.51"/>
    <n v="42.63"/>
    <n v="43497224128"/>
    <n v="6012000000"/>
    <n v="2.5080602000000001"/>
    <n v="1.82"/>
    <s v="http://www.sec.gov/cgi-bin/browse-edgar?action=getcompany&amp;CIK=SO"/>
    <n v="43.5"/>
    <n v="6"/>
  </r>
  <r>
    <s v="LUV"/>
    <s v="Southwest Airlines"/>
    <x v="0"/>
    <n v="55.63"/>
    <n v="15.89"/>
    <n v="0.863707"/>
    <n v="5.82"/>
    <n v="66.984999999999999"/>
    <n v="49.76"/>
    <n v="34351211637"/>
    <n v="4533000000"/>
    <n v="1.6294896999999999"/>
    <n v="3.84"/>
    <s v="http://www.sec.gov/cgi-bin/browse-edgar?action=getcompany&amp;CIK=LUV"/>
    <n v="34.4"/>
    <n v="4.5"/>
  </r>
  <r>
    <s v="SWK"/>
    <s v="Stanley Black &amp; Decker"/>
    <x v="3"/>
    <n v="152.86000000000001"/>
    <n v="20.57"/>
    <n v="1.5775634999999999"/>
    <n v="8.0500000000000007"/>
    <n v="176.62"/>
    <n v="121.09"/>
    <n v="24496399600"/>
    <n v="2264600000"/>
    <n v="1.9443250000000001"/>
    <n v="3.34"/>
    <s v="http://www.sec.gov/cgi-bin/browse-edgar?action=getcompany&amp;CIK=SWK"/>
    <n v="24.5"/>
    <n v="2.2999999999999998"/>
  </r>
  <r>
    <s v="SBUX"/>
    <s v="Starbucks Corp."/>
    <x v="3"/>
    <n v="53.77"/>
    <n v="25.98"/>
    <n v="2.203452"/>
    <n v="1.97"/>
    <n v="64.87"/>
    <n v="52.58"/>
    <n v="76548976000"/>
    <n v="7361500000"/>
    <n v="3.4392442999999999"/>
    <n v="13.36"/>
    <s v="http://www.sec.gov/cgi-bin/browse-edgar?action=getcompany&amp;CIK=SBUX"/>
    <n v="76.5"/>
    <n v="7.4"/>
  </r>
  <r>
    <s v="STT"/>
    <s v="State Street Corp."/>
    <x v="5"/>
    <n v="98.54"/>
    <n v="15.35"/>
    <n v="1.6228749"/>
    <n v="5.23"/>
    <n v="114.27"/>
    <n v="75.27"/>
    <n v="38059113300"/>
    <n v="0"/>
    <n v="3.2630720000000002"/>
    <n v="1.95"/>
    <s v="http://www.sec.gov/cgi-bin/browse-edgar?action=getcompany&amp;CIK=STT"/>
    <n v="38.1"/>
    <n v="0"/>
  </r>
  <r>
    <s v="SRCL"/>
    <s v="Stericycle Inc"/>
    <x v="0"/>
    <n v="70.55"/>
    <n v="16.260000000000002"/>
    <n v="0"/>
    <n v="2.08"/>
    <n v="88"/>
    <n v="61.25"/>
    <n v="6218560288"/>
    <n v="305085000"/>
    <n v="2.2607324000000002"/>
    <n v="2.15"/>
    <s v="http://www.sec.gov/cgi-bin/browse-edgar?action=getcompany&amp;CIK=SRCL"/>
    <n v="6.2"/>
    <n v="0.3"/>
  </r>
  <r>
    <s v="SYK"/>
    <s v="Stryker Corp."/>
    <x v="1"/>
    <n v="148.01"/>
    <n v="23.46"/>
    <n v="1.2234008000000001"/>
    <n v="2.68"/>
    <n v="170"/>
    <n v="122.01"/>
    <n v="57509096756"/>
    <n v="2863000000"/>
    <n v="4.6355659999999999"/>
    <n v="5.54"/>
    <s v="http://www.sec.gov/cgi-bin/browse-edgar?action=getcompany&amp;CIK=SYK"/>
    <n v="57.5"/>
    <n v="2.9"/>
  </r>
  <r>
    <s v="STI"/>
    <s v="SunTrust Banks"/>
    <x v="5"/>
    <n v="65.8"/>
    <n v="16.25"/>
    <n v="2.3185045999999998"/>
    <n v="4.4800000000000004"/>
    <n v="72.06"/>
    <n v="51.96"/>
    <n v="32498948310"/>
    <n v="0"/>
    <n v="3.3089445"/>
    <n v="1.38"/>
    <s v="http://www.sec.gov/cgi-bin/browse-edgar?action=getcompany&amp;CIK=STI"/>
    <n v="32.5"/>
    <n v="0"/>
  </r>
  <r>
    <s v="SYMC"/>
    <s v="Symantec Corp."/>
    <x v="2"/>
    <n v="25.59"/>
    <n v="39.369999999999997"/>
    <n v="1.1286681999999999"/>
    <n v="-0.17"/>
    <n v="34.200000000000003"/>
    <n v="25.65"/>
    <n v="16520497264"/>
    <n v="1227000000"/>
    <n v="3.5516492999999998"/>
    <n v="3.36"/>
    <s v="http://www.sec.gov/cgi-bin/browse-edgar?action=getcompany&amp;CIK=SYMC"/>
    <n v="16.5"/>
    <n v="1.2"/>
  </r>
  <r>
    <s v="SYF"/>
    <s v="Synchrony Financial"/>
    <x v="5"/>
    <n v="34.979999999999997"/>
    <n v="13.35"/>
    <n v="1.6"/>
    <n v="2.41"/>
    <n v="40.590000000000003"/>
    <n v="26.01"/>
    <n v="28893750000"/>
    <n v="0"/>
    <n v="2.1096623000000001"/>
    <n v="1.97"/>
    <s v="http://www.sec.gov/cgi-bin/browse-edgar?action=getcompany&amp;CIK=SYF"/>
    <n v="28.9"/>
    <n v="0"/>
  </r>
  <r>
    <s v="SNPS"/>
    <s v="Synopsys Inc."/>
    <x v="2"/>
    <n v="82.62"/>
    <n v="67.72"/>
    <n v="0"/>
    <n v="0.87"/>
    <n v="94.8"/>
    <n v="64.75"/>
    <n v="12767067883"/>
    <n v="579844000"/>
    <n v="6.2762640000000003"/>
    <n v="3.98"/>
    <s v="http://www.sec.gov/cgi-bin/browse-edgar?action=getcompany&amp;CIK=SNPS"/>
    <n v="12.8"/>
    <n v="0.6"/>
  </r>
  <r>
    <s v="SYY"/>
    <s v="Sysco Corp."/>
    <x v="8"/>
    <n v="57"/>
    <n v="22.98"/>
    <n v="2.4644873"/>
    <n v="2.08"/>
    <n v="64.27"/>
    <n v="48.85"/>
    <n v="30445320778"/>
    <n v="2988725000"/>
    <n v="0.72955349999999997"/>
    <n v="13.4"/>
    <s v="http://www.sec.gov/cgi-bin/browse-edgar?action=getcompany&amp;CIK=SYY"/>
    <n v="30.4"/>
    <n v="3"/>
  </r>
  <r>
    <s v="TROW"/>
    <s v="T. Rowe Price Group"/>
    <x v="5"/>
    <n v="101.99"/>
    <n v="19.920000000000002"/>
    <n v="2.1404429999999999"/>
    <n v="4.75"/>
    <n v="120.07"/>
    <n v="66.7"/>
    <n v="25810865035"/>
    <n v="2281400000"/>
    <n v="7.3911157000000003"/>
    <n v="4.6100000000000003"/>
    <s v="http://www.sec.gov/cgi-bin/browse-edgar?action=getcompany&amp;CIK=TROW"/>
    <n v="25.8"/>
    <n v="2.2999999999999998"/>
  </r>
  <r>
    <s v="TPR"/>
    <s v="Tapestry, Inc."/>
    <x v="3"/>
    <n v="48.85"/>
    <m/>
    <n v="0"/>
    <n v="2.09"/>
    <n v="50.71"/>
    <n v="36.69"/>
    <n v="14247199374"/>
    <n v="0"/>
    <n v="4.0785494"/>
    <n v="4.3499999999999996"/>
    <s v="http://www.sec.gov/cgi-bin/browse-edgar?action=getcompany&amp;CIK=TPR"/>
    <n v="14.2"/>
    <n v="0"/>
  </r>
  <r>
    <s v="TGT"/>
    <s v="Target Corp."/>
    <x v="3"/>
    <n v="71.11"/>
    <n v="14.19"/>
    <n v="3.3856654000000002"/>
    <n v="4.71"/>
    <n v="78.7"/>
    <n v="48.56"/>
    <n v="39816696539"/>
    <n v="7105000000"/>
    <n v="0.80473939999999999"/>
    <n v="3.45"/>
    <s v="http://www.sec.gov/cgi-bin/browse-edgar?action=getcompany&amp;CIK=TGT"/>
    <n v="39.799999999999997"/>
    <n v="7.1"/>
  </r>
  <r>
    <s v="TEL"/>
    <s v="TE Connectivity Ltd."/>
    <x v="2"/>
    <n v="95.27"/>
    <n v="19.72"/>
    <n v="1.6062645"/>
    <n v="4.71"/>
    <n v="108.23"/>
    <n v="71.930000000000007"/>
    <n v="34983666316"/>
    <n v="2797000000"/>
    <n v="2.5734365000000001"/>
    <n v="3.6"/>
    <s v="http://www.sec.gov/cgi-bin/browse-edgar?action=getcompany&amp;CIK=TEL"/>
    <n v="35"/>
    <n v="2.8"/>
  </r>
  <r>
    <s v="FTI"/>
    <s v="TechnipFMC"/>
    <x v="9"/>
    <n v="29.1"/>
    <n v="18.77"/>
    <n v="1.7060367000000001"/>
    <n v="0"/>
    <n v="35"/>
    <n v="24.53"/>
    <n v="14163064455"/>
    <n v="540167833"/>
    <n v="1.5615749999999999"/>
    <n v="1.06"/>
    <s v="http://www.sec.gov/cgi-bin/browse-edgar?action=getcompany&amp;CIK=FTI"/>
    <n v="14.2"/>
    <n v="0.5"/>
  </r>
  <r>
    <s v="TXN"/>
    <s v="Texas Instruments"/>
    <x v="2"/>
    <n v="97.66"/>
    <n v="24.05"/>
    <n v="2.4318495000000002"/>
    <n v="3.6"/>
    <n v="120.75"/>
    <n v="74.52"/>
    <n v="100262526470"/>
    <n v="7013000000"/>
    <n v="6.9572234000000002"/>
    <n v="9.32"/>
    <s v="http://www.sec.gov/cgi-bin/browse-edgar?action=getcompany&amp;CIK=TXN"/>
    <n v="100.3"/>
    <n v="7"/>
  </r>
  <r>
    <s v="TXT"/>
    <s v="Textron Inc."/>
    <x v="0"/>
    <n v="55.54"/>
    <n v="22.13"/>
    <n v="0.1381454"/>
    <n v="1.1399999999999999"/>
    <n v="62.19"/>
    <n v="45"/>
    <n v="15254672353"/>
    <n v="1454000000"/>
    <n v="1.0645694999999999"/>
    <n v="2.57"/>
    <s v="http://www.sec.gov/cgi-bin/browse-edgar?action=getcompany&amp;CIK=TXT"/>
    <n v="15.3"/>
    <n v="1.5"/>
  </r>
  <r>
    <s v="BK"/>
    <s v="The Bank of New York Mellon Corp."/>
    <x v="5"/>
    <n v="53.29"/>
    <n v="14.76"/>
    <n v="1.7347307000000001"/>
    <n v="3.73"/>
    <n v="58.99"/>
    <n v="44.91"/>
    <n v="56083904906"/>
    <n v="0"/>
    <n v="3.3834257000000001"/>
    <n v="1.49"/>
    <s v="http://www.sec.gov/cgi-bin/browse-edgar?action=getcompany&amp;CIK=BK"/>
    <n v="56.1"/>
    <n v="0"/>
  </r>
  <r>
    <s v="CLX"/>
    <s v="The Clorox Company"/>
    <x v="8"/>
    <n v="127.76"/>
    <n v="23.44"/>
    <n v="2.6286966999999999"/>
    <n v="5.33"/>
    <n v="150.4"/>
    <n v="124.09"/>
    <n v="16540418002"/>
    <n v="1295000000"/>
    <n v="2.798683"/>
    <n v="21.62"/>
    <s v="http://www.sec.gov/cgi-bin/browse-edgar?action=getcompany&amp;CIK=CLX"/>
    <n v="16.5"/>
    <n v="1.3"/>
  </r>
  <r>
    <s v="COO"/>
    <s v="The Cooper Companies"/>
    <x v="1"/>
    <n v="223.17"/>
    <n v="22.96"/>
    <n v="2.6033757000000001E-2"/>
    <n v="7.52"/>
    <n v="256.39"/>
    <n v="187.02"/>
    <n v="11297958140"/>
    <n v="615700000"/>
    <n v="6.8538465000000004"/>
    <n v="3.57"/>
    <s v="http://www.sec.gov/cgi-bin/browse-edgar?action=getcompany&amp;CIK=COO"/>
    <n v="11.3"/>
    <n v="0.6"/>
  </r>
  <r>
    <s v="HSY"/>
    <s v="The Hershey Company"/>
    <x v="8"/>
    <n v="97.65"/>
    <n v="20.51"/>
    <n v="2.6494346000000002"/>
    <n v="3.66"/>
    <n v="116.49"/>
    <n v="98.850999999999999"/>
    <n v="20867272020"/>
    <n v="1404123000"/>
    <n v="2.8396710999999999"/>
    <n v="25.64"/>
    <s v="http://www.sec.gov/cgi-bin/browse-edgar?action=getcompany&amp;CIK=HSY"/>
    <n v="20.9"/>
    <n v="1.4"/>
  </r>
  <r>
    <s v="MOS"/>
    <s v="The Mosaic Company"/>
    <x v="6"/>
    <n v="24.13"/>
    <n v="23.66"/>
    <n v="0.39603959999999999"/>
    <n v="0.85"/>
    <n v="34.36"/>
    <n v="19.23"/>
    <n v="9726962131"/>
    <n v="1165100000"/>
    <n v="1.8161958"/>
    <n v="0.94"/>
    <s v="http://www.sec.gov/cgi-bin/browse-edgar?action=getcompany&amp;CIK=MOS"/>
    <n v="9.6999999999999993"/>
    <n v="1.2"/>
  </r>
  <r>
    <s v="TRV"/>
    <s v="The Travelers Companies Inc."/>
    <x v="5"/>
    <n v="135.01"/>
    <n v="16.48"/>
    <n v="2.0261714"/>
    <n v="7.31"/>
    <n v="150.55000000000001"/>
    <n v="113.76"/>
    <n v="38903131815"/>
    <n v="0"/>
    <n v="1.33382"/>
    <n v="1.63"/>
    <s v="http://www.sec.gov/cgi-bin/browse-edgar?action=getcompany&amp;CIK=TRV"/>
    <n v="38.9"/>
    <n v="0"/>
  </r>
  <r>
    <s v="DIS"/>
    <s v="The Walt Disney Company"/>
    <x v="3"/>
    <n v="101.35"/>
    <n v="17.78"/>
    <n v="1.6036655"/>
    <n v="5.7"/>
    <n v="116.1"/>
    <n v="96.2"/>
    <n v="157817273295"/>
    <n v="12544000000"/>
    <n v="3.9635563"/>
    <n v="3.82"/>
    <s v="http://www.sec.gov/cgi-bin/browse-edgar?action=getcompany&amp;CIK=DIS"/>
    <n v="157.80000000000001"/>
    <n v="12.5"/>
  </r>
  <r>
    <s v="TMO"/>
    <s v="Thermo Fisher Scientific"/>
    <x v="1"/>
    <n v="198.73"/>
    <n v="21.84"/>
    <n v="0.32763189999999998"/>
    <n v="5.6"/>
    <n v="226.44"/>
    <n v="151.69"/>
    <n v="83226586345"/>
    <n v="4751300000"/>
    <n v="4.0156660000000004"/>
    <n v="3.38"/>
    <s v="http://www.sec.gov/cgi-bin/browse-edgar?action=getcompany&amp;CIK=TMO"/>
    <n v="83.2"/>
    <n v="4.8"/>
  </r>
  <r>
    <s v="TIF"/>
    <s v="Tiffany &amp; Co."/>
    <x v="3"/>
    <n v="99.62"/>
    <n v="27"/>
    <n v="1.9402406000000001"/>
    <n v="3.55"/>
    <n v="111.44"/>
    <n v="77.930000000000007"/>
    <n v="12810515320"/>
    <n v="949500000"/>
    <n v="4.5167479999999998"/>
    <n v="3.97"/>
    <s v="http://www.sec.gov/cgi-bin/browse-edgar?action=getcompany&amp;CIK=TIF"/>
    <n v="12.8"/>
    <n v="0.9"/>
  </r>
  <r>
    <s v="TWX"/>
    <s v="Time Warner Inc."/>
    <x v="3"/>
    <n v="93.02"/>
    <n v="15.35"/>
    <n v="1.6927768000000001"/>
    <n v="6.62"/>
    <n v="103.9"/>
    <n v="85.88"/>
    <n v="74185800000"/>
    <n v="7671000000"/>
    <n v="2.3735985999999998"/>
    <n v="2.73"/>
    <s v="http://www.sec.gov/cgi-bin/browse-edgar?action=getcompany&amp;CIK=TWX"/>
    <n v="74.2"/>
    <n v="7.7"/>
  </r>
  <r>
    <s v="TJX"/>
    <s v="TJX Companies Inc."/>
    <x v="3"/>
    <n v="74.36"/>
    <n v="21.01"/>
    <n v="1.64042"/>
    <n v="3.46"/>
    <n v="81.459999999999994"/>
    <n v="66.44"/>
    <n v="48181450881"/>
    <n v="4600216000"/>
    <n v="1.9293598000000001"/>
    <n v="10.35"/>
    <s v="http://www.sec.gov/cgi-bin/browse-edgar?action=getcompany&amp;CIK=TJX"/>
    <n v="48.2"/>
    <n v="4.5999999999999996"/>
  </r>
  <r>
    <s v="TMK"/>
    <s v="Torchmark Corp."/>
    <x v="5"/>
    <n v="80.52"/>
    <n v="17.02"/>
    <n v="0.72046109999999997"/>
    <n v="4.5"/>
    <n v="93.594999999999999"/>
    <n v="73.53"/>
    <n v="9614412169"/>
    <n v="0"/>
    <n v="3.1079664"/>
    <n v="1.88"/>
    <s v="http://www.sec.gov/cgi-bin/browse-edgar?action=getcompany&amp;CIK=TMK"/>
    <n v="9.6"/>
    <n v="0"/>
  </r>
  <r>
    <s v="TSS"/>
    <s v="Total System Services"/>
    <x v="2"/>
    <n v="81.17"/>
    <n v="25.85"/>
    <n v="0.60911329999999997"/>
    <n v="3.16"/>
    <n v="89.92"/>
    <n v="50.96"/>
    <n v="15694951118"/>
    <n v="1097534000"/>
    <n v="3.175548"/>
    <n v="6.57"/>
    <s v="http://www.sec.gov/cgi-bin/browse-edgar?action=getcompany&amp;CIK=TSS"/>
    <n v="15.7"/>
    <n v="1.1000000000000001"/>
  </r>
  <r>
    <s v="TSCO"/>
    <s v="Tractor Supply Company"/>
    <x v="3"/>
    <n v="65.94"/>
    <n v="19.57"/>
    <n v="1.6030873999999999"/>
    <n v="3.3"/>
    <n v="82.68"/>
    <n v="49.87"/>
    <n v="8459271203"/>
    <n v="859519000"/>
    <n v="1.1642125000000001"/>
    <n v="6.01"/>
    <s v="http://www.sec.gov/cgi-bin/browse-edgar?action=getcompany&amp;CIK=TSCO"/>
    <n v="8.5"/>
    <n v="0.9"/>
  </r>
  <r>
    <s v="TDG"/>
    <s v="TransDigm Group"/>
    <x v="0"/>
    <n v="283"/>
    <n v="23.76"/>
    <n v="0"/>
    <n v="7.92"/>
    <n v="321.38"/>
    <n v="203.72"/>
    <n v="15241203731"/>
    <n v="1635916000"/>
    <n v="4.2688319999999997"/>
    <m/>
    <s v="http://www.sec.gov/cgi-bin/browse-edgar?action=getcompany&amp;CIK=TDG"/>
    <n v="15.2"/>
    <n v="1.6"/>
  </r>
  <r>
    <s v="TRIP"/>
    <s v="TripAdvisor"/>
    <x v="3"/>
    <n v="40.049999999999997"/>
    <n v="58.04"/>
    <n v="0"/>
    <n v="0.81"/>
    <n v="53.29"/>
    <n v="29.5"/>
    <n v="5700998508"/>
    <n v="234000000"/>
    <n v="4.5925775"/>
    <n v="3.49"/>
    <s v="http://www.sec.gov/cgi-bin/browse-edgar?action=getcompany&amp;CIK=TRIP"/>
    <n v="5.7"/>
    <n v="0.2"/>
  </r>
  <r>
    <s v="FOXA"/>
    <s v="Twenty-First Century Fox Class A"/>
    <x v="3"/>
    <n v="34.56"/>
    <n v="17.809999999999999"/>
    <n v="0.99833609999999995"/>
    <n v="1.59"/>
    <n v="39.134999999999998"/>
    <n v="24.81"/>
    <n v="44027094922"/>
    <n v="5280000000"/>
    <n v="2.1080317000000002"/>
    <n v="4.1100000000000003"/>
    <s v="http://www.sec.gov/cgi-bin/browse-edgar?action=getcompany&amp;CIK=FOXA"/>
    <n v="44"/>
    <n v="5.3"/>
  </r>
  <r>
    <s v="FOX"/>
    <s v="Twenty-First Century Fox Class B"/>
    <x v="3"/>
    <n v="34.090000000000003"/>
    <n v="17.57"/>
    <n v="1.0084033999999999"/>
    <n v="1.59"/>
    <n v="38.56"/>
    <n v="24.3"/>
    <n v="66135313503"/>
    <n v="5280000000"/>
    <n v="3.1654841999999999"/>
    <n v="4.04"/>
    <s v="http://www.sec.gov/cgi-bin/browse-edgar?action=getcompany&amp;CIK=FOX"/>
    <n v="66.099999999999994"/>
    <n v="5.3"/>
  </r>
  <r>
    <s v="TSN"/>
    <s v="Tyson Foods"/>
    <x v="8"/>
    <n v="73.92"/>
    <n v="13.92"/>
    <n v="1.6353229"/>
    <n v="4.79"/>
    <n v="84.65"/>
    <n v="57.2"/>
    <n v="26957526800"/>
    <n v="2521000000"/>
    <n v="0.93730986000000005"/>
    <n v="2.5499999999999998"/>
    <s v="http://www.sec.gov/cgi-bin/browse-edgar?action=getcompany&amp;CIK=TSN"/>
    <n v="27"/>
    <n v="2.5"/>
  </r>
  <r>
    <s v="USB"/>
    <s v="U.S. Bancorp"/>
    <x v="5"/>
    <n v="52.65"/>
    <n v="15.35"/>
    <n v="2.189781"/>
    <n v="3.52"/>
    <n v="58.5"/>
    <n v="49.534999999999997"/>
    <n v="90940115897"/>
    <n v="0"/>
    <n v="3.7773547000000001"/>
    <n v="2.09"/>
    <s v="http://www.sec.gov/cgi-bin/browse-edgar?action=getcompany&amp;CIK=USB"/>
    <n v="90.9"/>
    <n v="0"/>
  </r>
  <r>
    <s v="UDR"/>
    <s v="UDR Inc"/>
    <x v="7"/>
    <n v="32.92"/>
    <n v="17.79"/>
    <n v="3.6686390000000002"/>
    <n v="1.08"/>
    <n v="40.71"/>
    <n v="33.31"/>
    <n v="9050154422"/>
    <n v="665141000"/>
    <n v="12.365829"/>
    <n v="3.27"/>
    <s v="http://www.sec.gov/cgi-bin/browse-edgar?action=getcompany&amp;CIK=UDR"/>
    <n v="9.1"/>
    <n v="0.7"/>
  </r>
  <r>
    <s v="ULTA"/>
    <s v="Ulta Salon Cosmetics &amp; Fragrance Inc"/>
    <x v="3"/>
    <n v="209.09"/>
    <n v="32.07"/>
    <n v="0"/>
    <n v="6.52"/>
    <n v="314.86"/>
    <n v="187.96"/>
    <n v="13300000127"/>
    <n v="1002093000"/>
    <n v="3.3779113000000001"/>
    <n v="8.0399999999999991"/>
    <s v="http://www.sec.gov/cgi-bin/browse-edgar?action=getcompany&amp;CIK=ULTA"/>
    <n v="13.3"/>
    <n v="1"/>
  </r>
  <r>
    <s v="UAA"/>
    <s v="Under Armour Class A"/>
    <x v="3"/>
    <n v="13.14"/>
    <n v="32.049999999999997"/>
    <n v="0"/>
    <n v="0.45"/>
    <n v="23.46"/>
    <n v="11.4"/>
    <n v="5856913571"/>
    <n v="399277000"/>
    <n v="1.6023080000000001"/>
    <n v="2.72"/>
    <s v="http://www.sec.gov/cgi-bin/browse-edgar?action=getcompany&amp;CIK=UAA"/>
    <n v="5.9"/>
    <n v="0.4"/>
  </r>
  <r>
    <s v="UA"/>
    <s v="Under Armour Class C"/>
    <x v="3"/>
    <n v="11.95"/>
    <n v="29.15"/>
    <n v="0"/>
    <n v="0.45"/>
    <n v="21.805"/>
    <n v="10.36"/>
    <n v="5366628950"/>
    <n v="399277000"/>
    <n v="1.4738787"/>
    <n v="2.5"/>
    <s v="http://www.sec.gov/cgi-bin/browse-edgar?action=getcompany&amp;CIK=UA"/>
    <n v="5.4"/>
    <n v="0.4"/>
  </r>
  <r>
    <s v="UNP"/>
    <s v="Union Pacific"/>
    <x v="0"/>
    <n v="124.86"/>
    <n v="22.06"/>
    <n v="2.0626549999999999"/>
    <n v="13.52"/>
    <n v="143.05000000000001"/>
    <n v="101.06"/>
    <n v="101513290382"/>
    <n v="10169000000"/>
    <n v="4.8605074999999998"/>
    <m/>
    <s v="http://www.sec.gov/cgi-bin/browse-edgar?action=getcompany&amp;CIK=UNP"/>
    <n v="101.5"/>
    <n v="10.199999999999999"/>
  </r>
  <r>
    <s v="UAL"/>
    <s v="United Continental Holdings"/>
    <x v="0"/>
    <n v="63.37"/>
    <n v="8.85"/>
    <n v="0"/>
    <n v="7.05"/>
    <n v="83.04"/>
    <n v="56.51"/>
    <n v="19363059152"/>
    <n v="5929000000"/>
    <n v="0.50204959999999998"/>
    <n v="2.09"/>
    <s v="http://www.sec.gov/cgi-bin/browse-edgar?action=getcompany&amp;CIK=UAL"/>
    <n v="19.399999999999999"/>
    <n v="5.9"/>
  </r>
  <r>
    <s v="UNH"/>
    <s v="United Health Group Inc."/>
    <x v="1"/>
    <n v="216.46"/>
    <n v="21.47"/>
    <n v="1.3284917000000001"/>
    <n v="10.71"/>
    <n v="250.79"/>
    <n v="156.49"/>
    <n v="218834811333"/>
    <n v="17454000000"/>
    <n v="1.0903316000000001"/>
    <n v="4.71"/>
    <s v="http://www.sec.gov/cgi-bin/browse-edgar?action=getcompany&amp;CIK=UNH"/>
    <n v="218.8"/>
    <n v="17.5"/>
  </r>
  <r>
    <s v="UPS"/>
    <s v="United Parcel Service"/>
    <x v="0"/>
    <n v="109.28"/>
    <n v="18.27"/>
    <n v="2.9666695999999999"/>
    <n v="5.62"/>
    <n v="135.53"/>
    <n v="102.12"/>
    <n v="96436356833"/>
    <n v="7919000000"/>
    <n v="1.4744618"/>
    <n v="64.7"/>
    <s v="http://www.sec.gov/cgi-bin/browse-edgar?action=getcompany&amp;CIK=UPS"/>
    <n v="96.4"/>
    <n v="7.9"/>
  </r>
  <r>
    <s v="URI"/>
    <s v="United Rentals, Inc."/>
    <x v="0"/>
    <n v="161.99"/>
    <n v="16.329999999999998"/>
    <n v="0"/>
    <n v="15.72"/>
    <n v="189"/>
    <n v="100.621"/>
    <n v="14654954091"/>
    <n v="2760000000"/>
    <n v="2.1782618"/>
    <n v="4.53"/>
    <s v="http://www.sec.gov/cgi-bin/browse-edgar?action=getcompany&amp;CIK=URI"/>
    <n v="14.7"/>
    <n v="2.8"/>
  </r>
  <r>
    <s v="UTX"/>
    <s v="United Technologies"/>
    <x v="0"/>
    <n v="127.48"/>
    <n v="19.260000000000002"/>
    <n v="2.1216943000000001"/>
    <n v="5.7"/>
    <n v="139.24"/>
    <n v="107.05"/>
    <n v="105387272474"/>
    <n v="10584000000"/>
    <n v="1.7324123"/>
    <n v="3.4"/>
    <s v="http://www.sec.gov/cgi-bin/browse-edgar?action=getcompany&amp;CIK=UTX"/>
    <n v="105.4"/>
    <n v="10.6"/>
  </r>
  <r>
    <s v="UHS"/>
    <s v="Universal Health Services, Inc."/>
    <x v="1"/>
    <n v="114.87"/>
    <n v="15.36"/>
    <n v="0.34153004999999997"/>
    <n v="7.14"/>
    <n v="129.74"/>
    <n v="95.26"/>
    <n v="11116075286"/>
    <n v="1676204000"/>
    <n v="1.3158662000000001"/>
    <n v="2.21"/>
    <s v="http://www.sec.gov/cgi-bin/browse-edgar?action=getcompany&amp;CIK=UHS"/>
    <n v="11.1"/>
    <n v="1.7"/>
  </r>
  <r>
    <s v="UNM"/>
    <s v="Unum Group"/>
    <x v="5"/>
    <n v="47.87"/>
    <n v="11.51"/>
    <n v="1.8189006999999999"/>
    <n v="4.38"/>
    <n v="58.73"/>
    <n v="43.55"/>
    <n v="11256432318"/>
    <n v="0"/>
    <n v="0.99849239999999995"/>
    <n v="1.19"/>
    <s v="http://www.sec.gov/cgi-bin/browse-edgar?action=getcompany&amp;CIK=UNM"/>
    <n v="11.3"/>
    <n v="0"/>
  </r>
  <r>
    <s v="VFC"/>
    <s v="V.F. Corp."/>
    <x v="3"/>
    <n v="78.75"/>
    <n v="25.9"/>
    <n v="2.2865665000000002"/>
    <n v="2.5499999999999998"/>
    <n v="82.95"/>
    <n v="48.05"/>
    <n v="31797645904"/>
    <n v="1624441000"/>
    <n v="3.7110943999999999"/>
    <n v="7.89"/>
    <s v="http://www.sec.gov/cgi-bin/browse-edgar?action=getcompany&amp;CIK=VFC"/>
    <n v="31.8"/>
    <n v="1.6"/>
  </r>
  <r>
    <s v="VLO"/>
    <s v="Valero Energy"/>
    <x v="9"/>
    <n v="86.77"/>
    <n v="18.739999999999998"/>
    <n v="3.5618877000000002"/>
    <n v="9.24"/>
    <n v="99.95"/>
    <n v="60.69"/>
    <n v="39312309113"/>
    <n v="5401000000"/>
    <n v="0.42119180000000001"/>
    <n v="1.93"/>
    <s v="http://www.sec.gov/cgi-bin/browse-edgar?action=getcompany&amp;CIK=VLO"/>
    <n v="39.299999999999997"/>
    <n v="5.4"/>
  </r>
  <r>
    <s v="VAR"/>
    <s v="Varian Medical Systems"/>
    <x v="1"/>
    <n v="112.82"/>
    <n v="29.93"/>
    <n v="0"/>
    <n v="2.69"/>
    <n v="130.29"/>
    <n v="77.73"/>
    <n v="10692681720"/>
    <n v="500600000"/>
    <n v="3.9652251999999999"/>
    <n v="7.32"/>
    <s v="http://www.sec.gov/cgi-bin/browse-edgar?action=getcompany&amp;CIK=VAR"/>
    <n v="10.7"/>
    <n v="0.5"/>
  </r>
  <r>
    <s v="VTR"/>
    <s v="Ventas Inc"/>
    <x v="7"/>
    <n v="50.92"/>
    <n v="12.21"/>
    <n v="5.9656409999999997"/>
    <n v="1.86"/>
    <n v="72.36"/>
    <n v="51.8"/>
    <n v="18865999082"/>
    <n v="1935931000"/>
    <n v="7.0740495000000001"/>
    <n v="1.76"/>
    <s v="http://www.sec.gov/cgi-bin/browse-edgar?action=getcompany&amp;CIK=VTR"/>
    <n v="18.899999999999999"/>
    <n v="1.9"/>
  </r>
  <r>
    <s v="VRSN"/>
    <s v="Verisign Inc."/>
    <x v="2"/>
    <n v="105.62"/>
    <n v="29.5"/>
    <n v="0"/>
    <n v="3.43"/>
    <n v="118.28"/>
    <n v="81.17"/>
    <n v="10754983829"/>
    <n v="767864000"/>
    <n v="12.401828999999999"/>
    <n v="10.82"/>
    <s v="http://www.sec.gov/cgi-bin/browse-edgar?action=getcompany&amp;CIK=VRSN"/>
    <n v="10.8"/>
    <n v="0.8"/>
  </r>
  <r>
    <s v="VRSK"/>
    <s v="Verisk Analytics"/>
    <x v="0"/>
    <n v="92.28"/>
    <n v="28.84"/>
    <n v="0"/>
    <n v="3.45"/>
    <n v="100.54"/>
    <n v="75.599999999999994"/>
    <n v="15594677147"/>
    <n v="1011200000"/>
    <n v="9.9354739999999993"/>
    <n v="9.34"/>
    <s v="http://www.sec.gov/cgi-bin/browse-edgar?action=getcompany&amp;CIK=VRSK"/>
    <n v="15.6"/>
    <n v="1"/>
  </r>
  <r>
    <s v="VZ"/>
    <s v="Verizon Communications"/>
    <x v="10"/>
    <n v="49.04"/>
    <n v="13.08"/>
    <n v="4.626544"/>
    <n v="7.36"/>
    <n v="54.77"/>
    <n v="42.8"/>
    <n v="208092277044"/>
    <n v="45745000000"/>
    <n v="1.6452544"/>
    <n v="7.96"/>
    <s v="http://www.sec.gov/cgi-bin/browse-edgar?action=getcompany&amp;CIK=VZ"/>
    <n v="208.1"/>
    <n v="45.7"/>
  </r>
  <r>
    <s v="VRTX"/>
    <s v="Vertex Pharmaceuticals Inc"/>
    <x v="1"/>
    <n v="151.6"/>
    <n v="252.67"/>
    <n v="0"/>
    <n v="1.04"/>
    <n v="174.95500000000001"/>
    <n v="84.39"/>
    <n v="39369386348"/>
    <n v="97562000"/>
    <n v="16.185403999999998"/>
    <n v="21.91"/>
    <s v="http://www.sec.gov/cgi-bin/browse-edgar?action=getcompany&amp;CIK=VRTX"/>
    <n v="39.4"/>
    <n v="0.1"/>
  </r>
  <r>
    <s v="VIAB"/>
    <s v="Viacom Inc."/>
    <x v="3"/>
    <n v="32.71"/>
    <n v="8.68"/>
    <n v="2.6220910000000002"/>
    <n v="4.68"/>
    <n v="46.72"/>
    <n v="22.13"/>
    <n v="10601008017"/>
    <n v="5600000000"/>
    <n v="1.0924768"/>
    <n v="2.08"/>
    <s v="http://www.sec.gov/cgi-bin/browse-edgar?action=getcompany&amp;CIK=VIAB"/>
    <n v="10.6"/>
    <n v="5.6"/>
  </r>
  <r>
    <s v="V"/>
    <s v="Visa Inc."/>
    <x v="2"/>
    <n v="113.86"/>
    <n v="32.72"/>
    <n v="0.70204765000000002"/>
    <n v="2.8"/>
    <n v="126.88"/>
    <n v="84.88"/>
    <n v="270038723213"/>
    <n v="13086000000"/>
    <n v="14.433654000000001"/>
    <n v="9.4"/>
    <s v="http://www.sec.gov/cgi-bin/browse-edgar?action=getcompany&amp;CIK=V"/>
    <n v="270"/>
    <n v="13.1"/>
  </r>
  <r>
    <s v="VNO"/>
    <s v="Vornado Realty Trust"/>
    <x v="7"/>
    <n v="66.180000000000007"/>
    <n v="16.22"/>
    <n v="3.7444280000000001"/>
    <n v="4.33"/>
    <n v="111.72"/>
    <n v="66.010099999999994"/>
    <n v="12778779911"/>
    <n v="0"/>
    <n v="7.1491002999999997"/>
    <n v="3.63"/>
    <s v="http://www.sec.gov/cgi-bin/browse-edgar?action=getcompany&amp;CIK=VNO"/>
    <n v="12.8"/>
    <n v="0"/>
  </r>
  <r>
    <s v="VMC"/>
    <s v="Vulcan Materials"/>
    <x v="6"/>
    <n v="121.47"/>
    <n v="40.9"/>
    <n v="0.77978789999999998"/>
    <n v="3.1"/>
    <n v="141.19999999999999"/>
    <n v="108.95"/>
    <n v="16964162228"/>
    <n v="970976000"/>
    <n v="5.7576875999999997"/>
    <n v="3.54"/>
    <s v="http://www.sec.gov/cgi-bin/browse-edgar?action=getcompany&amp;CIK=VMC"/>
    <n v="17"/>
    <n v="1"/>
  </r>
  <r>
    <s v="WMT"/>
    <s v="Wal-Mart Stores"/>
    <x v="8"/>
    <n v="100.02"/>
    <n v="23.1"/>
    <n v="1.983471"/>
    <n v="4.3899999999999997"/>
    <n v="109.98"/>
    <n v="66.89"/>
    <n v="304680931618"/>
    <n v="30721000000"/>
    <n v="0.82099425999999998"/>
    <n v="3.89"/>
    <s v="http://www.sec.gov/cgi-bin/browse-edgar?action=getcompany&amp;CIK=WMT"/>
    <n v="304.7"/>
    <n v="30.7"/>
  </r>
  <r>
    <s v="WBA"/>
    <s v="Walgreens Boots Alliance"/>
    <x v="8"/>
    <n v="68.22"/>
    <n v="13.38"/>
    <n v="2.2368237999999998"/>
    <n v="3.78"/>
    <n v="88"/>
    <n v="63.82"/>
    <n v="70862541911"/>
    <n v="7083000000"/>
    <n v="0.59043880000000004"/>
    <n v="3.06"/>
    <s v="http://www.sec.gov/cgi-bin/browse-edgar?action=getcompany&amp;CIK=WBA"/>
    <n v="70.900000000000006"/>
    <n v="7.1"/>
  </r>
  <r>
    <s v="WM"/>
    <s v="Waste Management Inc."/>
    <x v="0"/>
    <n v="79.12"/>
    <n v="25.36"/>
    <n v="2.0800195000000001"/>
    <n v="2.66"/>
    <n v="89.73"/>
    <n v="69.55"/>
    <n v="35488486675"/>
    <n v="3896000000"/>
    <n v="3.2787668999999999"/>
    <n v="6.73"/>
    <s v="http://www.sec.gov/cgi-bin/browse-edgar?action=getcompany&amp;CIK=WM"/>
    <n v="35.5"/>
    <n v="3.9"/>
  </r>
  <r>
    <s v="WAT"/>
    <s v="Waters Corporation"/>
    <x v="1"/>
    <n v="191.79"/>
    <n v="26.64"/>
    <n v="0"/>
    <n v="0.19"/>
    <n v="220.2"/>
    <n v="145.94"/>
    <n v="16064078572"/>
    <n v="773932000"/>
    <n v="6.9824114000000002"/>
    <n v="6.15"/>
    <s v="http://www.sec.gov/cgi-bin/browse-edgar?action=getcompany&amp;CIK=WAT"/>
    <n v="16.100000000000001"/>
    <n v="0.8"/>
  </r>
  <r>
    <s v="WEC"/>
    <s v="Wec Energy Group Inc"/>
    <x v="4"/>
    <n v="59.5"/>
    <n v="19.57"/>
    <n v="3.691948"/>
    <n v="3.79"/>
    <n v="70.09"/>
    <n v="56.63"/>
    <n v="18890296993"/>
    <n v="2736500000"/>
    <n v="2.4834196999999998"/>
    <n v="2.1"/>
    <s v="http://www.sec.gov/cgi-bin/browse-edgar?action=getcompany&amp;CIK=WEC"/>
    <n v="18.899999999999999"/>
    <n v="2.7"/>
  </r>
  <r>
    <s v="WFC"/>
    <s v="Wells Fargo"/>
    <x v="5"/>
    <n v="55.4"/>
    <n v="13.58"/>
    <n v="2.7111575999999999"/>
    <n v="4.07"/>
    <n v="66.31"/>
    <n v="49.27"/>
    <n v="281463620775"/>
    <n v="0"/>
    <n v="2.8728191999999999"/>
    <n v="1.58"/>
    <s v="http://www.sec.gov/cgi-bin/browse-edgar?action=getcompany&amp;CIK=WFC"/>
    <n v="281.5"/>
    <n v="0"/>
  </r>
  <r>
    <s v="HCN"/>
    <s v="Welltower Inc."/>
    <x v="7"/>
    <n v="54.67"/>
    <n v="12.74"/>
    <n v="6.1538462999999997"/>
    <n v="2.81"/>
    <n v="78.17"/>
    <n v="55.29"/>
    <n v="20943679019"/>
    <n v="1908253000"/>
    <n v="6.7252179999999999"/>
    <n v="1.49"/>
    <s v="http://www.sec.gov/cgi-bin/browse-edgar?action=getcompany&amp;CIK=HCN"/>
    <n v="20.9"/>
    <n v="1.9"/>
  </r>
  <r>
    <s v="WDC"/>
    <s v="Western Digital"/>
    <x v="2"/>
    <n v="80.09"/>
    <n v="10.19"/>
    <n v="2.3892009999999999"/>
    <n v="1.29"/>
    <n v="95.77"/>
    <n v="71.38"/>
    <n v="24760297793"/>
    <n v="5169000000"/>
    <n v="1.245503"/>
    <n v="2"/>
    <s v="http://www.sec.gov/cgi-bin/browse-edgar?action=getcompany&amp;CIK=WDC"/>
    <n v="24.8"/>
    <n v="5.2"/>
  </r>
  <r>
    <s v="WU"/>
    <s v="Western Union Co"/>
    <x v="2"/>
    <n v="18.809999999999999"/>
    <n v="10.17"/>
    <n v="3.5915854"/>
    <n v="0.51"/>
    <n v="22.21"/>
    <n v="18.39"/>
    <n v="8951609207"/>
    <n v="694600000"/>
    <n v="2.2267700000000001"/>
    <n v="12.65"/>
    <s v="http://www.sec.gov/cgi-bin/browse-edgar?action=getcompany&amp;CIK=WU"/>
    <n v="9"/>
    <n v="0.7"/>
  </r>
  <r>
    <s v="WRK"/>
    <s v="WestRock Company"/>
    <x v="6"/>
    <n v="60.93"/>
    <n v="23.26"/>
    <n v="2.6699784000000002"/>
    <n v="2.77"/>
    <n v="71.55"/>
    <n v="49.23"/>
    <n v="16433340688"/>
    <n v="2262300000"/>
    <n v="1.075785"/>
    <n v="1.58"/>
    <s v="http://www.sec.gov/cgi-bin/browse-edgar?action=getcompany&amp;CIK=WRK"/>
    <n v="16.399999999999999"/>
    <n v="2.2999999999999998"/>
  </r>
  <r>
    <s v="WY"/>
    <s v="Weyerhaeuser Corp."/>
    <x v="7"/>
    <n v="33.6"/>
    <n v="34.29"/>
    <n v="3.7079954000000002"/>
    <n v="0.77"/>
    <n v="37.89"/>
    <n v="30.950399999999998"/>
    <n v="26070297960"/>
    <n v="1365000000"/>
    <n v="3.6396793999999999"/>
    <n v="2.9"/>
    <s v="http://www.sec.gov/cgi-bin/browse-edgar?action=getcompany&amp;CIK=WY"/>
    <n v="26.1"/>
    <n v="1.4"/>
  </r>
  <r>
    <s v="WHR"/>
    <s v="Whirlpool Corp."/>
    <x v="3"/>
    <n v="164.95"/>
    <n v="11.77"/>
    <n v="2.5652986000000002"/>
    <n v="4.51"/>
    <n v="202.99"/>
    <n v="158.80000000000001"/>
    <n v="12177920000"/>
    <n v="1842000000"/>
    <n v="0.58064795000000002"/>
    <n v="2.57"/>
    <s v="http://www.sec.gov/cgi-bin/browse-edgar?action=getcompany&amp;CIK=WHR"/>
    <n v="12.2"/>
    <n v="1.8"/>
  </r>
  <r>
    <s v="WMB"/>
    <s v="Williams Cos."/>
    <x v="9"/>
    <n v="28.56"/>
    <n v="48.41"/>
    <n v="4"/>
    <n v="-0.56999999999999995"/>
    <n v="33.67"/>
    <n v="26.8188"/>
    <n v="24802396470"/>
    <n v="3955000000"/>
    <n v="4.2982845000000003"/>
    <n v="3.01"/>
    <s v="http://www.sec.gov/cgi-bin/browse-edgar?action=getcompany&amp;CIK=WMB"/>
    <n v="24.8"/>
    <n v="4"/>
  </r>
  <r>
    <s v="WLTW"/>
    <s v="Willis Towers Watson"/>
    <x v="5"/>
    <n v="152.36000000000001"/>
    <n v="18.670000000000002"/>
    <n v="1.3470580000000001"/>
    <n v="3.07"/>
    <n v="165"/>
    <n v="120.869"/>
    <n v="20780269334"/>
    <n v="1440000000"/>
    <n v="3.4484663000000002"/>
    <n v="2.1"/>
    <s v="http://www.sec.gov/cgi-bin/browse-edgar?action=getcompany&amp;CIK=WLTW"/>
    <n v="20.8"/>
    <n v="1.4"/>
  </r>
  <r>
    <s v="WYN"/>
    <s v="Wyndham Worldwide"/>
    <x v="3"/>
    <n v="113.56"/>
    <n v="18.77"/>
    <n v="1.9541778999999999"/>
    <n v="5.53"/>
    <n v="127.96"/>
    <n v="80.11"/>
    <n v="11993835688"/>
    <n v="1232000000"/>
    <n v="2.7332082"/>
    <n v="18.91"/>
    <s v="http://www.sec.gov/cgi-bin/browse-edgar?action=getcompany&amp;CIK=WYN"/>
    <n v="12"/>
    <n v="1.2"/>
  </r>
  <r>
    <s v="WYNN"/>
    <s v="Wynn Resorts Ltd"/>
    <x v="3"/>
    <n v="169.28"/>
    <n v="31.7"/>
    <n v="1.1279043"/>
    <n v="7.27"/>
    <n v="203.63"/>
    <n v="92.67"/>
    <n v="18225400525"/>
    <n v="1501301000"/>
    <n v="2.4786579999999998"/>
    <n v="51.69"/>
    <s v="http://www.sec.gov/cgi-bin/browse-edgar?action=getcompany&amp;CIK=WYNN"/>
    <n v="18.2"/>
    <n v="1.5"/>
  </r>
  <r>
    <s v="XEL"/>
    <s v="Xcel Energy Inc"/>
    <x v="4"/>
    <n v="42.44"/>
    <n v="18.14"/>
    <n v="3.3914273000000001"/>
    <n v="2.21"/>
    <n v="52.22"/>
    <n v="41.16"/>
    <n v="21559611927"/>
    <n v="3885828000"/>
    <n v="2.5204559999999998"/>
    <n v="1.94"/>
    <s v="http://www.sec.gov/cgi-bin/browse-edgar?action=getcompany&amp;CIK=XEL"/>
    <n v="21.6"/>
    <n v="3.9"/>
  </r>
  <r>
    <s v="XRX"/>
    <s v="Xerox Corp."/>
    <x v="2"/>
    <n v="29.8"/>
    <n v="8.8699999999999992"/>
    <n v="3.2071839999999998"/>
    <n v="0.59"/>
    <n v="37.42"/>
    <n v="26.64"/>
    <n v="7938833340"/>
    <n v="1191000000"/>
    <n v="0.78776559999999995"/>
    <n v="1.49"/>
    <s v="http://www.sec.gov/cgi-bin/browse-edgar?action=getcompany&amp;CIK=XRX"/>
    <n v="7.9"/>
    <n v="1.2"/>
  </r>
  <r>
    <s v="XLNX"/>
    <s v="Xilinx Inc"/>
    <x v="2"/>
    <n v="62.82"/>
    <n v="27.19"/>
    <n v="2.0904881999999998"/>
    <n v="2.3199999999999998"/>
    <n v="77.260000000000005"/>
    <n v="54.99"/>
    <n v="17064975551"/>
    <n v="845468000"/>
    <n v="7.1012060000000004"/>
    <n v="7.22"/>
    <s v="http://www.sec.gov/cgi-bin/browse-edgar?action=getcompany&amp;CIK=XLNX"/>
    <n v="17.100000000000001"/>
    <n v="0.8"/>
  </r>
  <r>
    <s v="XL"/>
    <s v="XL Capital"/>
    <x v="5"/>
    <n v="41.26"/>
    <n v="-19.93"/>
    <n v="2.0952381999999998"/>
    <n v="-2.2400000000000002"/>
    <n v="47.27"/>
    <n v="33.770000000000003"/>
    <n v="10753423590"/>
    <n v="0"/>
    <n v="0.84394186999999998"/>
    <n v="0.97"/>
    <s v="http://www.sec.gov/cgi-bin/browse-edgar?action=getcompany&amp;CIK=XL"/>
    <n v="10.8"/>
    <n v="0"/>
  </r>
  <r>
    <s v="XYL"/>
    <s v="Xylem Inc."/>
    <x v="0"/>
    <n v="70.239999999999995"/>
    <n v="30.94"/>
    <n v="1.1700794000000001"/>
    <n v="1.83"/>
    <n v="76.81"/>
    <n v="46.86"/>
    <n v="12915021000"/>
    <n v="722000000"/>
    <n v="2.7262094000000001"/>
    <n v="5.31"/>
    <s v="http://www.sec.gov/cgi-bin/browse-edgar?action=getcompany&amp;CIK=XYL"/>
    <n v="12.9"/>
    <n v="0.7"/>
  </r>
  <r>
    <s v="YUM"/>
    <s v="Yum! Brands Inc"/>
    <x v="3"/>
    <n v="76.3"/>
    <n v="27.25"/>
    <n v="1.7970797999999999"/>
    <n v="4.07"/>
    <n v="86.93"/>
    <n v="62.85"/>
    <n v="27003303098"/>
    <n v="2289000000"/>
    <n v="6.3136362999999998"/>
    <n v="212.08"/>
    <s v="http://www.sec.gov/cgi-bin/browse-edgar?action=getcompany&amp;CIK=YUM"/>
    <n v="27"/>
    <n v="2.2999999999999998"/>
  </r>
  <r>
    <s v="ZBH"/>
    <s v="Zimmer Biomet Holdings"/>
    <x v="1"/>
    <n v="115.53"/>
    <n v="14.32"/>
    <n v="0.79483360000000003"/>
    <n v="9.01"/>
    <n v="133.49"/>
    <n v="108.17"/>
    <n v="24454698119"/>
    <n v="2007400000"/>
    <n v="3.1648953"/>
    <n v="2.39"/>
    <s v="http://www.sec.gov/cgi-bin/browse-edgar?action=getcompany&amp;CIK=ZBH"/>
    <n v="24.5"/>
    <n v="2"/>
  </r>
  <r>
    <s v="ZION"/>
    <s v="Zions Bancorp"/>
    <x v="5"/>
    <n v="50.71"/>
    <n v="17.73"/>
    <n v="1.4809330000000001"/>
    <n v="2.6"/>
    <n v="55.61"/>
    <n v="38.43"/>
    <n v="10670678640"/>
    <n v="0"/>
    <n v="3.7945793000000001"/>
    <n v="1.42"/>
    <s v="http://www.sec.gov/cgi-bin/browse-edgar?action=getcompany&amp;CIK=ZION"/>
    <n v="10.7"/>
    <n v="0"/>
  </r>
  <r>
    <s v="ZTS"/>
    <s v="Zoetis"/>
    <x v="1"/>
    <n v="71.510000000000005"/>
    <n v="32.799999999999997"/>
    <n v="0.68237203000000002"/>
    <n v="1.65"/>
    <n v="80.13"/>
    <n v="52"/>
    <n v="35991109776"/>
    <n v="1734000000"/>
    <n v="9.2808960000000003"/>
    <n v="18.09"/>
    <s v="http://www.sec.gov/cgi-bin/browse-edgar?action=getcompany&amp;CIK=ZTS"/>
    <n v="36"/>
    <n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D030B6-C891-4A68-BAE4-DB7BFE65B4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ctor">
  <location ref="F3:H15" firstHeaderRow="0" firstDataRow="1" firstDataCol="1"/>
  <pivotFields count="16">
    <pivotField showAll="0"/>
    <pivotField showAll="0"/>
    <pivotField axis="axisRow" showAll="0">
      <items count="12">
        <item x="3"/>
        <item x="8"/>
        <item x="9"/>
        <item x="5"/>
        <item x="1"/>
        <item x="0"/>
        <item x="2"/>
        <item x="6"/>
        <item x="7"/>
        <item x="10"/>
        <item x="4"/>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Average of Price/Earnings" fld="4" subtotal="average" baseField="2" baseItem="4" numFmtId="2"/>
    <dataField name="Average of Dividend Yield" fld="5" subtotal="average" baseField="2" baseItem="4"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0445B6-A394-46C3-8A2F-91C2F11B67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Sector">
  <location ref="A3:B15" firstHeaderRow="1" firstDataRow="1" firstDataCol="1"/>
  <pivotFields count="16">
    <pivotField showAll="0"/>
    <pivotField showAll="0"/>
    <pivotField axis="axisRow" showAll="0" sortType="descending">
      <items count="12">
        <item x="3"/>
        <item x="8"/>
        <item x="9"/>
        <item x="5"/>
        <item x="1"/>
        <item x="0"/>
        <item x="2"/>
        <item x="6"/>
        <item x="7"/>
        <item x="1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12">
    <i>
      <x v="6"/>
    </i>
    <i>
      <x v="3"/>
    </i>
    <i>
      <x v="4"/>
    </i>
    <i>
      <x/>
    </i>
    <i>
      <x v="5"/>
    </i>
    <i>
      <x v="1"/>
    </i>
    <i>
      <x v="2"/>
    </i>
    <i>
      <x v="7"/>
    </i>
    <i>
      <x v="8"/>
    </i>
    <i>
      <x v="10"/>
    </i>
    <i>
      <x v="9"/>
    </i>
    <i t="grand">
      <x/>
    </i>
  </rowItems>
  <colItems count="1">
    <i/>
  </colItems>
  <dataFields count="1">
    <dataField name="Sum of Market Cap (bn)"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86D7DC-18DA-490B-AC09-CBFED9E851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rowHeaderCaption="Sector">
  <location ref="A3:C15" firstHeaderRow="0" firstDataRow="1" firstDataCol="1"/>
  <pivotFields count="16">
    <pivotField dataField="1" showAll="0"/>
    <pivotField showAll="0"/>
    <pivotField axis="axisRow" showAll="0">
      <items count="12">
        <item x="3"/>
        <item x="8"/>
        <item x="9"/>
        <item x="5"/>
        <item x="1"/>
        <item x="0"/>
        <item x="2"/>
        <item x="6"/>
        <item x="7"/>
        <item x="10"/>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Average of Market Cap (bn)" fld="14" subtotal="average" baseField="2" baseItem="0" numFmtId="2"/>
    <dataField name="Count of Symbol  (Companies)" fld="0" subtotal="count" baseField="0" baseItem="0"/>
  </dataFields>
  <formats count="1">
    <format dxfId="2">
      <pivotArea dataOnly="0" labelOnly="1" outline="0" fieldPosition="0">
        <references count="1">
          <reference field="4294967294" count="1">
            <x v="1"/>
          </reference>
        </references>
      </pivotArea>
    </format>
  </formats>
  <chartFormats count="2">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FA18E3-7981-4339-9C32-334D37BB20F5}" autoFormatId="16" applyNumberFormats="0" applyBorderFormats="0" applyFontFormats="0" applyPatternFormats="0" applyAlignmentFormats="0" applyWidthHeightFormats="0">
  <queryTableRefresh nextId="17">
    <queryTableFields count="16">
      <queryTableField id="1" name="Symbol" tableColumnId="1"/>
      <queryTableField id="2" name="Name" tableColumnId="2"/>
      <queryTableField id="3" name="Sector" tableColumnId="3"/>
      <queryTableField id="4" name="Price" tableColumnId="4"/>
      <queryTableField id="5" name="Price/Earnings" tableColumnId="5"/>
      <queryTableField id="6" name="Dividend Yield" tableColumnId="6"/>
      <queryTableField id="7" name="Earnings/Share" tableColumnId="7"/>
      <queryTableField id="8" name="52 Week High" tableColumnId="8"/>
      <queryTableField id="9" name="52 Week Low" tableColumnId="9"/>
      <queryTableField id="10" name="Market Cap" tableColumnId="10"/>
      <queryTableField id="11" name="EBITDA" tableColumnId="11"/>
      <queryTableField id="12" name="Price/Sales" tableColumnId="12"/>
      <queryTableField id="13" name="Price/Book" tableColumnId="13"/>
      <queryTableField id="14" name="SEC Filings" tableColumnId="14"/>
      <queryTableField id="15" name="Market Cap (bn)" tableColumnId="15"/>
      <queryTableField id="16" name="EBITDA (bn)"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5BF3E645-88CA-481F-AE8A-A65802DA0A45}" sourceName="Sector">
  <pivotTables>
    <pivotTable tabId="3" name="PivotTable1"/>
    <pivotTable tabId="3" name="PivotTable2"/>
  </pivotTables>
  <data>
    <tabular pivotCacheId="739801204">
      <items count="11">
        <i x="3" s="1"/>
        <i x="8" s="1"/>
        <i x="9" s="1"/>
        <i x="5" s="1"/>
        <i x="1" s="1"/>
        <i x="0" s="1"/>
        <i x="2" s="1"/>
        <i x="6" s="1"/>
        <i x="7" s="1"/>
        <i x="1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0B7FA361-7076-45E3-B6F9-3CC7F69BE1A6}" cache="Slicer_Sector" caption="Secto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9ABEBF-DA6D-4258-B5C2-8C0A7804FA78}" name="constituents_financials" displayName="constituents_financials" ref="A1:P506" tableType="queryTable" totalsRowShown="0">
  <autoFilter ref="A1:P506" xr:uid="{BB9ABEBF-DA6D-4258-B5C2-8C0A7804FA78}"/>
  <tableColumns count="16">
    <tableColumn id="1" xr3:uid="{3CBE819B-BDAE-4FB0-B0EA-E56E01354B92}" uniqueName="1" name="Symbol" queryTableFieldId="1" dataDxfId="6"/>
    <tableColumn id="2" xr3:uid="{C88319AE-2D6B-4527-868C-E28D34B00FD4}" uniqueName="2" name="Name" queryTableFieldId="2" dataDxfId="5"/>
    <tableColumn id="3" xr3:uid="{ABD1CD97-71F6-4281-A59B-83C0DA5BAB76}" uniqueName="3" name="Sector" queryTableFieldId="3" dataDxfId="4"/>
    <tableColumn id="4" xr3:uid="{DE847940-9D78-4336-BC00-75B5E136E901}" uniqueName="4" name="Price" queryTableFieldId="4"/>
    <tableColumn id="5" xr3:uid="{9A47B1D5-2905-448A-8B5C-04C3D07EF62C}" uniqueName="5" name="Price/Earnings" queryTableFieldId="5"/>
    <tableColumn id="6" xr3:uid="{68AC4F2E-AE2A-4B56-B596-59B0C4D59FC8}" uniqueName="6" name="Dividend Yield" queryTableFieldId="6"/>
    <tableColumn id="7" xr3:uid="{533BB4C4-4A7F-42F1-88C4-39E5A9A3D09E}" uniqueName="7" name="Earnings/Share" queryTableFieldId="7"/>
    <tableColumn id="8" xr3:uid="{E98597E2-0765-4B4A-9CFF-83D778234318}" uniqueName="8" name="52 Week High" queryTableFieldId="8"/>
    <tableColumn id="9" xr3:uid="{CA92D768-FC53-4C78-9678-87ECEBFB90CE}" uniqueName="9" name="52 Week Low" queryTableFieldId="9"/>
    <tableColumn id="10" xr3:uid="{9411CDCE-CA55-4957-9886-5AB835A49270}" uniqueName="10" name="Market Cap" queryTableFieldId="10"/>
    <tableColumn id="11" xr3:uid="{C3D01FB1-445C-44BD-89B2-803E5E67C006}" uniqueName="11" name="EBITDA" queryTableFieldId="11"/>
    <tableColumn id="12" xr3:uid="{3111A6BE-AD13-4602-9DCC-B0D2F42BDBFC}" uniqueName="12" name="Price/Sales" queryTableFieldId="12"/>
    <tableColumn id="13" xr3:uid="{EDF652B9-DFB1-4FCD-8C67-6EB10A6046CE}" uniqueName="13" name="Price/Book" queryTableFieldId="13"/>
    <tableColumn id="14" xr3:uid="{B9A8EDC2-D0ED-4F93-8B5C-285ED480CA19}" uniqueName="14" name="SEC Filings" queryTableFieldId="14" dataDxfId="3"/>
    <tableColumn id="15" xr3:uid="{9426D925-A838-4DE0-8EE2-A8C0C69EF8FA}" uniqueName="15" name="Market Cap (bn)" queryTableFieldId="15"/>
    <tableColumn id="16" xr3:uid="{28E39951-0140-424D-A738-DC7E3B80D40E}" uniqueName="16" name="EBITDA (bn)"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AB2471-6919-46A8-96EB-FC572F08D892}" name="Table3" displayName="Table3" ref="A1:C12" totalsRowShown="0">
  <autoFilter ref="A1:C12" xr:uid="{5EAB2471-6919-46A8-96EB-FC572F08D892}"/>
  <sortState xmlns:xlrd2="http://schemas.microsoft.com/office/spreadsheetml/2017/richdata2" ref="A2:C12">
    <sortCondition descending="1" ref="B1:B12"/>
  </sortState>
  <tableColumns count="3">
    <tableColumn id="1" xr3:uid="{2CA7A418-975D-4B14-BB0D-8A08C843DECB}" name="Sector"/>
    <tableColumn id="2" xr3:uid="{15E66C01-C0D7-453A-970A-6F410C8B421F}" name="Market Cap (bn)"/>
    <tableColumn id="3" xr3:uid="{3A191ABA-0D86-4193-B327-5E70C0A69BEE}" name="Cumulative %" dataDxfId="1" totalsRowDxfId="0">
      <calculatedColumnFormula>SUM($B$2:B2)/SUM($B$2:$B$12)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D8AA0F1-2571-447E-B79A-71B44C0A6935}" name="Table7" displayName="Table7" ref="A1:H496" totalsRowShown="0">
  <autoFilter ref="A1:H496" xr:uid="{DD8AA0F1-2571-447E-B79A-71B44C0A6935}"/>
  <tableColumns count="8">
    <tableColumn id="1" xr3:uid="{BCB7852D-B621-4395-8DCC-A47655DC31E6}" name="Market Cap (bn)"/>
    <tableColumn id="2" xr3:uid="{3869232F-43E4-4D57-93B7-3EC2BFCAE6A0}" name="EBITDA (bn)"/>
    <tableColumn id="3" xr3:uid="{92DFFFA5-EEC8-4FB3-84D4-AB025282290F}" name="Earnings/Share"/>
    <tableColumn id="4" xr3:uid="{E950FD1D-70F8-4950-8DA9-AEE5F93F2401}" name="Price"/>
    <tableColumn id="6" xr3:uid="{9CEDD0EA-2205-4EF8-BA1E-6C03AA8E4842}" name="Price/Earnings"/>
    <tableColumn id="7" xr3:uid="{C6570BE3-5E1A-4249-8845-5B579669B657}" name="Dividend Yield"/>
    <tableColumn id="8" xr3:uid="{6B26E316-650E-43FA-8138-4B7317AFB3D5}" name="Price/Book"/>
    <tableColumn id="5" xr3:uid="{90837F25-CB6D-494C-96BC-1F63B1D90849}" name="Price/Sal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485C92B-B6AC-405C-98BD-891132268FC6}" name="Table8" displayName="Table8" ref="K1:M496" totalsRowShown="0">
  <autoFilter ref="K1:M496" xr:uid="{5485C92B-B6AC-405C-98BD-891132268FC6}"/>
  <tableColumns count="3">
    <tableColumn id="1" xr3:uid="{58FBFF4E-5E2D-4F4F-A491-9C52A4CD9852}" name="Forecast 1"/>
    <tableColumn id="2" xr3:uid="{640ABBE6-7C09-41F9-847E-EC9282247544}" name="Forecast 2" dataDxfId="9"/>
    <tableColumn id="3" xr3:uid="{A53E91E2-ECBE-49EA-A6CD-057D41BBEFB3}" name="Forecast 3"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B949546-B0A2-48FC-A5E5-6257FE536CA3}" name="Table9" displayName="Table9" ref="P1:U4" totalsRowShown="0">
  <autoFilter ref="P1:U4" xr:uid="{AB949546-B0A2-48FC-A5E5-6257FE536CA3}"/>
  <tableColumns count="6">
    <tableColumn id="1" xr3:uid="{2BAFAEB4-5AE5-4125-AB2A-7E57FED742A6}" name="Model"/>
    <tableColumn id="7" xr3:uid="{2A1DC799-0222-4404-8790-8D3AFAA07769}" name="Variables"/>
    <tableColumn id="2" xr3:uid="{01492AB6-3629-4633-967F-A2859240679A}" name="R Square"/>
    <tableColumn id="3" xr3:uid="{31C2E9A2-CCCC-486B-81B3-04757BD62B31}" name="Adjusted R Square"/>
    <tableColumn id="4" xr3:uid="{DBEAACBB-1545-4E3A-9F54-EC5E3500F1CF}" name="MSE"/>
    <tableColumn id="5" xr3:uid="{D6D69E6E-7A72-4C90-BF30-6F7B9BF266C8}" name="MAPE" dataDxfId="7" dataCellStyle="Percent"/>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6B60A-5D6C-4F5E-851B-4AE64CDCA02F}">
  <dimension ref="A1:P506"/>
  <sheetViews>
    <sheetView zoomScale="40" zoomScaleNormal="40" workbookViewId="0">
      <selection activeCell="BC158" sqref="BC158"/>
    </sheetView>
  </sheetViews>
  <sheetFormatPr defaultRowHeight="14.25" x14ac:dyDescent="0.45"/>
  <cols>
    <col min="1" max="1" width="9" bestFit="1" customWidth="1"/>
    <col min="2" max="2" width="31.6640625" bestFit="1" customWidth="1"/>
    <col min="3" max="3" width="23.1328125" bestFit="1" customWidth="1"/>
    <col min="4" max="4" width="7.73046875" bestFit="1" customWidth="1"/>
    <col min="5" max="5" width="14.53125" bestFit="1" customWidth="1"/>
    <col min="6" max="6" width="14.6640625" bestFit="1" customWidth="1"/>
    <col min="7" max="7" width="15.265625" bestFit="1" customWidth="1"/>
    <col min="8" max="8" width="14.19921875" bestFit="1" customWidth="1"/>
    <col min="9" max="9" width="13.86328125" bestFit="1" customWidth="1"/>
    <col min="10" max="10" width="12.265625" bestFit="1" customWidth="1"/>
    <col min="11" max="11" width="11.73046875" bestFit="1" customWidth="1"/>
    <col min="12" max="13" width="11.796875" bestFit="1" customWidth="1"/>
    <col min="14" max="14" width="61.6640625" bestFit="1" customWidth="1"/>
    <col min="15" max="15" width="16.1328125" bestFit="1" customWidth="1"/>
    <col min="16" max="16" width="12.59765625" bestFit="1" customWidth="1"/>
  </cols>
  <sheetData>
    <row r="1" spans="1:16" x14ac:dyDescent="0.4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45">
      <c r="A2" t="s">
        <v>16</v>
      </c>
      <c r="B2" t="s">
        <v>17</v>
      </c>
      <c r="C2" t="s">
        <v>18</v>
      </c>
      <c r="D2">
        <v>222.89</v>
      </c>
      <c r="E2">
        <v>24.31</v>
      </c>
      <c r="F2">
        <v>2.3328617</v>
      </c>
      <c r="G2">
        <v>7.92</v>
      </c>
      <c r="H2">
        <v>259.77</v>
      </c>
      <c r="I2">
        <v>175.49</v>
      </c>
      <c r="J2">
        <v>138721055226</v>
      </c>
      <c r="K2">
        <v>9048000000</v>
      </c>
      <c r="L2">
        <v>4.3902707000000003</v>
      </c>
      <c r="M2">
        <v>11.34</v>
      </c>
      <c r="N2" t="s">
        <v>19</v>
      </c>
      <c r="O2">
        <v>138.69999999999999</v>
      </c>
      <c r="P2">
        <v>9</v>
      </c>
    </row>
    <row r="3" spans="1:16" x14ac:dyDescent="0.45">
      <c r="A3" t="s">
        <v>20</v>
      </c>
      <c r="B3" t="s">
        <v>21</v>
      </c>
      <c r="C3" t="s">
        <v>18</v>
      </c>
      <c r="D3">
        <v>60.24</v>
      </c>
      <c r="E3">
        <v>27.76</v>
      </c>
      <c r="F3">
        <v>1.1479592000000001</v>
      </c>
      <c r="G3">
        <v>1.7</v>
      </c>
      <c r="H3">
        <v>68.39</v>
      </c>
      <c r="I3">
        <v>48.924999999999997</v>
      </c>
      <c r="J3">
        <v>10783419933</v>
      </c>
      <c r="K3">
        <v>601000000</v>
      </c>
      <c r="L3">
        <v>3.5754826</v>
      </c>
      <c r="M3">
        <v>6.35</v>
      </c>
      <c r="N3" t="s">
        <v>22</v>
      </c>
      <c r="O3">
        <v>10.8</v>
      </c>
      <c r="P3">
        <v>0.6</v>
      </c>
    </row>
    <row r="4" spans="1:16" x14ac:dyDescent="0.45">
      <c r="A4" t="s">
        <v>23</v>
      </c>
      <c r="B4" t="s">
        <v>24</v>
      </c>
      <c r="C4" t="s">
        <v>25</v>
      </c>
      <c r="D4">
        <v>56.27</v>
      </c>
      <c r="E4">
        <v>22.51</v>
      </c>
      <c r="F4">
        <v>1.9089824</v>
      </c>
      <c r="G4">
        <v>0.26</v>
      </c>
      <c r="H4">
        <v>64.599999999999994</v>
      </c>
      <c r="I4">
        <v>42.28</v>
      </c>
      <c r="J4">
        <v>102121042306</v>
      </c>
      <c r="K4">
        <v>5744000000</v>
      </c>
      <c r="L4">
        <v>3.7404804</v>
      </c>
      <c r="M4">
        <v>3.19</v>
      </c>
      <c r="N4" t="s">
        <v>26</v>
      </c>
      <c r="O4">
        <v>102.1</v>
      </c>
      <c r="P4">
        <v>5.7</v>
      </c>
    </row>
    <row r="5" spans="1:16" x14ac:dyDescent="0.45">
      <c r="A5" t="s">
        <v>27</v>
      </c>
      <c r="B5" t="s">
        <v>28</v>
      </c>
      <c r="C5" t="s">
        <v>25</v>
      </c>
      <c r="D5">
        <v>108.48</v>
      </c>
      <c r="E5">
        <v>19.41</v>
      </c>
      <c r="F5">
        <v>2.4995598999999999</v>
      </c>
      <c r="G5">
        <v>3.29</v>
      </c>
      <c r="H5">
        <v>125.86</v>
      </c>
      <c r="I5">
        <v>60.05</v>
      </c>
      <c r="J5">
        <v>181386347059</v>
      </c>
      <c r="K5">
        <v>10310000000</v>
      </c>
      <c r="L5">
        <v>6.2915710000000002</v>
      </c>
      <c r="M5">
        <v>26.14</v>
      </c>
      <c r="N5" t="s">
        <v>29</v>
      </c>
      <c r="O5">
        <v>181.4</v>
      </c>
      <c r="P5">
        <v>10.3</v>
      </c>
    </row>
    <row r="6" spans="1:16" x14ac:dyDescent="0.45">
      <c r="A6" t="s">
        <v>30</v>
      </c>
      <c r="B6" t="s">
        <v>31</v>
      </c>
      <c r="C6" t="s">
        <v>32</v>
      </c>
      <c r="D6">
        <v>150.51</v>
      </c>
      <c r="E6">
        <v>25.47</v>
      </c>
      <c r="F6">
        <v>1.7144699000000001</v>
      </c>
      <c r="G6">
        <v>5.44</v>
      </c>
      <c r="H6">
        <v>162.6</v>
      </c>
      <c r="I6">
        <v>114.82</v>
      </c>
      <c r="J6">
        <v>98765855553</v>
      </c>
      <c r="K6">
        <v>5643228000</v>
      </c>
      <c r="L6">
        <v>2.604117</v>
      </c>
      <c r="M6">
        <v>10.62</v>
      </c>
      <c r="N6" t="s">
        <v>33</v>
      </c>
      <c r="O6">
        <v>98.8</v>
      </c>
      <c r="P6">
        <v>5.6</v>
      </c>
    </row>
    <row r="7" spans="1:16" x14ac:dyDescent="0.45">
      <c r="A7" t="s">
        <v>34</v>
      </c>
      <c r="B7" t="s">
        <v>35</v>
      </c>
      <c r="C7" t="s">
        <v>32</v>
      </c>
      <c r="D7">
        <v>65.83</v>
      </c>
      <c r="E7">
        <v>31.8</v>
      </c>
      <c r="F7">
        <v>0.43190324000000002</v>
      </c>
      <c r="G7">
        <v>1.28</v>
      </c>
      <c r="H7">
        <v>74.944999999999993</v>
      </c>
      <c r="I7">
        <v>38.93</v>
      </c>
      <c r="J7">
        <v>52518668144</v>
      </c>
      <c r="K7">
        <v>2704000000</v>
      </c>
      <c r="L7">
        <v>10.59512</v>
      </c>
      <c r="M7">
        <v>5.16</v>
      </c>
      <c r="N7" t="s">
        <v>36</v>
      </c>
      <c r="O7">
        <v>52.5</v>
      </c>
      <c r="P7">
        <v>2.7</v>
      </c>
    </row>
    <row r="8" spans="1:16" x14ac:dyDescent="0.45">
      <c r="A8" t="s">
        <v>37</v>
      </c>
      <c r="B8" t="s">
        <v>38</v>
      </c>
      <c r="C8" t="s">
        <v>18</v>
      </c>
      <c r="D8">
        <v>145.41</v>
      </c>
      <c r="E8">
        <v>18.22</v>
      </c>
      <c r="F8">
        <v>0.35118526</v>
      </c>
      <c r="G8">
        <v>7.43</v>
      </c>
      <c r="H8">
        <v>225.36</v>
      </c>
      <c r="I8">
        <v>142</v>
      </c>
      <c r="J8">
        <v>6242377704</v>
      </c>
      <c r="K8">
        <v>587800000</v>
      </c>
      <c r="L8">
        <v>1.7953473</v>
      </c>
      <c r="M8">
        <v>3.55</v>
      </c>
      <c r="N8" t="s">
        <v>39</v>
      </c>
      <c r="O8">
        <v>6.2</v>
      </c>
      <c r="P8">
        <v>0.6</v>
      </c>
    </row>
    <row r="9" spans="1:16" x14ac:dyDescent="0.45">
      <c r="A9" t="s">
        <v>40</v>
      </c>
      <c r="B9" t="s">
        <v>41</v>
      </c>
      <c r="C9" t="s">
        <v>32</v>
      </c>
      <c r="D9">
        <v>185.16</v>
      </c>
      <c r="E9">
        <v>52.31</v>
      </c>
      <c r="F9">
        <v>0</v>
      </c>
      <c r="G9">
        <v>3.39</v>
      </c>
      <c r="H9">
        <v>204.45</v>
      </c>
      <c r="I9">
        <v>114.45099999999999</v>
      </c>
      <c r="J9">
        <v>94550214268</v>
      </c>
      <c r="K9">
        <v>2538040000</v>
      </c>
      <c r="L9">
        <v>13.092817999999999</v>
      </c>
      <c r="M9">
        <v>11.06</v>
      </c>
      <c r="N9" t="s">
        <v>42</v>
      </c>
      <c r="O9">
        <v>94.6</v>
      </c>
      <c r="P9">
        <v>2.5</v>
      </c>
    </row>
    <row r="10" spans="1:16" x14ac:dyDescent="0.45">
      <c r="A10" t="s">
        <v>43</v>
      </c>
      <c r="B10" t="s">
        <v>44</v>
      </c>
      <c r="C10" t="s">
        <v>45</v>
      </c>
      <c r="D10">
        <v>109.63</v>
      </c>
      <c r="E10">
        <v>19.54</v>
      </c>
      <c r="F10">
        <v>0.21832074000000001</v>
      </c>
      <c r="G10">
        <v>6.19</v>
      </c>
      <c r="H10">
        <v>169.55</v>
      </c>
      <c r="I10">
        <v>78.81</v>
      </c>
      <c r="J10">
        <v>8123611867</v>
      </c>
      <c r="K10">
        <v>853941000</v>
      </c>
      <c r="L10">
        <v>1.1301060999999999</v>
      </c>
      <c r="M10">
        <v>2.5099999999999998</v>
      </c>
      <c r="N10" t="s">
        <v>46</v>
      </c>
      <c r="O10">
        <v>8.1</v>
      </c>
      <c r="P10">
        <v>0.9</v>
      </c>
    </row>
    <row r="11" spans="1:16" x14ac:dyDescent="0.45">
      <c r="A11" t="s">
        <v>47</v>
      </c>
      <c r="B11" t="s">
        <v>48</v>
      </c>
      <c r="C11" t="s">
        <v>32</v>
      </c>
      <c r="D11">
        <v>11.22</v>
      </c>
      <c r="E11">
        <v>187</v>
      </c>
      <c r="F11">
        <v>0</v>
      </c>
      <c r="G11">
        <v>0.03</v>
      </c>
      <c r="H11">
        <v>15.65</v>
      </c>
      <c r="I11">
        <v>9.6999999999999993</v>
      </c>
      <c r="J11">
        <v>11191663795</v>
      </c>
      <c r="K11">
        <v>339000000</v>
      </c>
      <c r="L11">
        <v>2.1091954999999998</v>
      </c>
      <c r="M11">
        <v>21.47</v>
      </c>
      <c r="N11" t="s">
        <v>49</v>
      </c>
      <c r="O11">
        <v>11.2</v>
      </c>
      <c r="P11">
        <v>0.3</v>
      </c>
    </row>
    <row r="12" spans="1:16" x14ac:dyDescent="0.45">
      <c r="A12" t="s">
        <v>50</v>
      </c>
      <c r="B12" t="s">
        <v>51</v>
      </c>
      <c r="C12" t="s">
        <v>52</v>
      </c>
      <c r="D12">
        <v>10.06</v>
      </c>
      <c r="E12">
        <v>9.9600000000000009</v>
      </c>
      <c r="F12">
        <v>4.9618320000000002</v>
      </c>
      <c r="G12">
        <v>-1.72</v>
      </c>
      <c r="H12">
        <v>12.05</v>
      </c>
      <c r="I12">
        <v>10</v>
      </c>
      <c r="J12">
        <v>6920851212</v>
      </c>
      <c r="K12">
        <v>3001000000</v>
      </c>
      <c r="L12">
        <v>0.65951382999999997</v>
      </c>
      <c r="M12">
        <v>2.2000000000000002</v>
      </c>
      <c r="N12" t="s">
        <v>53</v>
      </c>
      <c r="O12">
        <v>6.9</v>
      </c>
      <c r="P12">
        <v>3</v>
      </c>
    </row>
    <row r="13" spans="1:16" x14ac:dyDescent="0.45">
      <c r="A13" t="s">
        <v>54</v>
      </c>
      <c r="B13" t="s">
        <v>55</v>
      </c>
      <c r="C13" t="s">
        <v>25</v>
      </c>
      <c r="D13">
        <v>178</v>
      </c>
      <c r="E13">
        <v>18.11</v>
      </c>
      <c r="F13">
        <v>1.1019890000000001</v>
      </c>
      <c r="G13">
        <v>5.75</v>
      </c>
      <c r="H13">
        <v>194.4</v>
      </c>
      <c r="I13">
        <v>119.51</v>
      </c>
      <c r="J13">
        <v>59197016353</v>
      </c>
      <c r="K13">
        <v>4139000000</v>
      </c>
      <c r="L13">
        <v>0.99235459999999998</v>
      </c>
      <c r="M13">
        <v>3.79</v>
      </c>
      <c r="N13" t="s">
        <v>56</v>
      </c>
      <c r="O13">
        <v>59.2</v>
      </c>
      <c r="P13">
        <v>4.0999999999999996</v>
      </c>
    </row>
    <row r="14" spans="1:16" x14ac:dyDescent="0.45">
      <c r="A14" t="s">
        <v>57</v>
      </c>
      <c r="B14" t="s">
        <v>58</v>
      </c>
      <c r="C14" t="s">
        <v>59</v>
      </c>
      <c r="D14">
        <v>179.11</v>
      </c>
      <c r="E14">
        <v>12.24</v>
      </c>
      <c r="F14">
        <v>0.63873950000000002</v>
      </c>
      <c r="G14">
        <v>12.07</v>
      </c>
      <c r="H14">
        <v>216.995</v>
      </c>
      <c r="I14">
        <v>148.81</v>
      </c>
      <c r="J14">
        <v>10442174371</v>
      </c>
      <c r="K14">
        <v>1261400000</v>
      </c>
      <c r="L14">
        <v>4.5912350000000002</v>
      </c>
      <c r="M14">
        <v>2.89</v>
      </c>
      <c r="N14" t="s">
        <v>60</v>
      </c>
      <c r="O14">
        <v>10.4</v>
      </c>
      <c r="P14">
        <v>1.3</v>
      </c>
    </row>
    <row r="15" spans="1:16" x14ac:dyDescent="0.45">
      <c r="A15" t="s">
        <v>61</v>
      </c>
      <c r="B15" t="s">
        <v>62</v>
      </c>
      <c r="C15" t="s">
        <v>59</v>
      </c>
      <c r="D15">
        <v>83.25</v>
      </c>
      <c r="E15">
        <v>12.24</v>
      </c>
      <c r="F15">
        <v>2.4299065999999998</v>
      </c>
      <c r="G15">
        <v>11.01</v>
      </c>
      <c r="H15">
        <v>91.73</v>
      </c>
      <c r="I15">
        <v>68.8</v>
      </c>
      <c r="J15">
        <v>33422948000</v>
      </c>
      <c r="K15">
        <v>0</v>
      </c>
      <c r="L15">
        <v>1.5429344</v>
      </c>
      <c r="M15">
        <v>1.53</v>
      </c>
      <c r="N15" t="s">
        <v>63</v>
      </c>
      <c r="O15">
        <v>33.4</v>
      </c>
      <c r="P15">
        <v>0</v>
      </c>
    </row>
    <row r="16" spans="1:16" x14ac:dyDescent="0.45">
      <c r="A16" t="s">
        <v>64</v>
      </c>
      <c r="B16" t="s">
        <v>65</v>
      </c>
      <c r="C16" t="s">
        <v>25</v>
      </c>
      <c r="D16">
        <v>65.05</v>
      </c>
      <c r="E16">
        <v>27.45</v>
      </c>
      <c r="F16">
        <v>0.87569790000000003</v>
      </c>
      <c r="G16">
        <v>2.1</v>
      </c>
      <c r="H16">
        <v>75</v>
      </c>
      <c r="I16">
        <v>49.23</v>
      </c>
      <c r="J16">
        <v>21984606918</v>
      </c>
      <c r="K16">
        <v>1094000000</v>
      </c>
      <c r="L16">
        <v>6.493563</v>
      </c>
      <c r="M16">
        <v>4.5599999999999996</v>
      </c>
      <c r="N16" t="s">
        <v>66</v>
      </c>
      <c r="O16">
        <v>22</v>
      </c>
      <c r="P16">
        <v>1.1000000000000001</v>
      </c>
    </row>
    <row r="17" spans="1:16" x14ac:dyDescent="0.45">
      <c r="A17" t="s">
        <v>67</v>
      </c>
      <c r="B17" t="s">
        <v>68</v>
      </c>
      <c r="C17" t="s">
        <v>69</v>
      </c>
      <c r="D17">
        <v>152.80000000000001</v>
      </c>
      <c r="E17">
        <v>24.22</v>
      </c>
      <c r="F17">
        <v>2.7811135999999999</v>
      </c>
      <c r="G17">
        <v>13.66</v>
      </c>
      <c r="H17">
        <v>175.17</v>
      </c>
      <c r="I17">
        <v>133.6301</v>
      </c>
      <c r="J17">
        <v>34638387128</v>
      </c>
      <c r="K17">
        <v>2542500000</v>
      </c>
      <c r="L17">
        <v>4.1163683000000004</v>
      </c>
      <c r="M17">
        <v>3.35</v>
      </c>
      <c r="N17" t="s">
        <v>70</v>
      </c>
      <c r="O17">
        <v>34.6</v>
      </c>
      <c r="P17">
        <v>2.5</v>
      </c>
    </row>
    <row r="18" spans="1:16" x14ac:dyDescent="0.45">
      <c r="A18" t="s">
        <v>71</v>
      </c>
      <c r="B18" t="s">
        <v>72</v>
      </c>
      <c r="C18" t="s">
        <v>32</v>
      </c>
      <c r="D18">
        <v>62.49</v>
      </c>
      <c r="E18">
        <v>32.549999999999997</v>
      </c>
      <c r="F18">
        <v>0</v>
      </c>
      <c r="G18">
        <v>1.79</v>
      </c>
      <c r="H18">
        <v>69.56</v>
      </c>
      <c r="I18">
        <v>44.65</v>
      </c>
      <c r="J18">
        <v>10906904066</v>
      </c>
      <c r="K18">
        <v>789517000</v>
      </c>
      <c r="L18">
        <v>5.8546524</v>
      </c>
      <c r="M18">
        <v>3.25</v>
      </c>
      <c r="N18" t="s">
        <v>73</v>
      </c>
      <c r="O18">
        <v>10.9</v>
      </c>
      <c r="P18">
        <v>0.8</v>
      </c>
    </row>
    <row r="19" spans="1:16" x14ac:dyDescent="0.45">
      <c r="A19" t="s">
        <v>74</v>
      </c>
      <c r="B19" t="s">
        <v>75</v>
      </c>
      <c r="C19" t="s">
        <v>18</v>
      </c>
      <c r="D19">
        <v>64.040000000000006</v>
      </c>
      <c r="E19">
        <v>9.66</v>
      </c>
      <c r="F19">
        <v>1.9928383000000001</v>
      </c>
      <c r="G19">
        <v>8.2799999999999994</v>
      </c>
      <c r="H19">
        <v>101.43</v>
      </c>
      <c r="I19">
        <v>59.25</v>
      </c>
      <c r="J19">
        <v>7903173734</v>
      </c>
      <c r="K19">
        <v>1665000000</v>
      </c>
      <c r="L19">
        <v>0.98010920000000001</v>
      </c>
      <c r="M19">
        <v>2.21</v>
      </c>
      <c r="N19" t="s">
        <v>76</v>
      </c>
      <c r="O19">
        <v>7.9</v>
      </c>
      <c r="P19">
        <v>1.7</v>
      </c>
    </row>
    <row r="20" spans="1:16" x14ac:dyDescent="0.45">
      <c r="A20" t="s">
        <v>77</v>
      </c>
      <c r="B20" t="s">
        <v>78</v>
      </c>
      <c r="C20" t="s">
        <v>69</v>
      </c>
      <c r="D20">
        <v>105.18</v>
      </c>
      <c r="E20">
        <v>26.03</v>
      </c>
      <c r="F20">
        <v>1.2004125999999999</v>
      </c>
      <c r="G20">
        <v>5.66</v>
      </c>
      <c r="H20">
        <v>144.99</v>
      </c>
      <c r="I20">
        <v>90.35</v>
      </c>
      <c r="J20">
        <v>11782151266</v>
      </c>
      <c r="K20">
        <v>686030000</v>
      </c>
      <c r="L20">
        <v>5.3666204999999998</v>
      </c>
      <c r="M20">
        <v>2.98</v>
      </c>
      <c r="N20" t="s">
        <v>79</v>
      </c>
      <c r="O20">
        <v>11.8</v>
      </c>
      <c r="P20">
        <v>0.7</v>
      </c>
    </row>
    <row r="21" spans="1:16" x14ac:dyDescent="0.45">
      <c r="A21" t="s">
        <v>80</v>
      </c>
      <c r="B21" t="s">
        <v>81</v>
      </c>
      <c r="C21" t="s">
        <v>82</v>
      </c>
      <c r="D21">
        <v>114.58</v>
      </c>
      <c r="E21">
        <v>19.03</v>
      </c>
      <c r="F21">
        <v>3.0262272000000001</v>
      </c>
      <c r="G21">
        <v>1.57</v>
      </c>
      <c r="H21">
        <v>134.37</v>
      </c>
      <c r="I21">
        <v>106.89</v>
      </c>
      <c r="J21">
        <v>12043374429</v>
      </c>
      <c r="K21">
        <v>0</v>
      </c>
      <c r="L21">
        <v>10.492155</v>
      </c>
      <c r="M21">
        <v>2.0699999999999998</v>
      </c>
      <c r="N21" t="s">
        <v>83</v>
      </c>
      <c r="O21">
        <v>12</v>
      </c>
      <c r="P21">
        <v>0</v>
      </c>
    </row>
    <row r="22" spans="1:16" x14ac:dyDescent="0.45">
      <c r="A22" t="s">
        <v>84</v>
      </c>
      <c r="B22" t="s">
        <v>85</v>
      </c>
      <c r="C22" t="s">
        <v>25</v>
      </c>
      <c r="D22">
        <v>108.47</v>
      </c>
      <c r="E22">
        <v>22.18</v>
      </c>
      <c r="F22">
        <v>0</v>
      </c>
      <c r="G22">
        <v>1.77</v>
      </c>
      <c r="H22">
        <v>149.34</v>
      </c>
      <c r="I22">
        <v>96.18</v>
      </c>
      <c r="J22">
        <v>26172439795</v>
      </c>
      <c r="K22">
        <v>1072000000</v>
      </c>
      <c r="L22">
        <v>9.7205619999999993</v>
      </c>
      <c r="M22">
        <v>2.82</v>
      </c>
      <c r="N22" t="s">
        <v>86</v>
      </c>
      <c r="O22">
        <v>26.2</v>
      </c>
      <c r="P22">
        <v>1.1000000000000001</v>
      </c>
    </row>
    <row r="23" spans="1:16" x14ac:dyDescent="0.45">
      <c r="A23" t="s">
        <v>87</v>
      </c>
      <c r="B23" t="s">
        <v>88</v>
      </c>
      <c r="C23" t="s">
        <v>25</v>
      </c>
      <c r="D23">
        <v>220.71</v>
      </c>
      <c r="E23">
        <v>56.59</v>
      </c>
      <c r="F23">
        <v>0</v>
      </c>
      <c r="G23">
        <v>2.84</v>
      </c>
      <c r="H23">
        <v>287.32</v>
      </c>
      <c r="I23">
        <v>92.61</v>
      </c>
      <c r="J23">
        <v>18788041378</v>
      </c>
      <c r="K23">
        <v>380326000</v>
      </c>
      <c r="L23">
        <v>13.138819</v>
      </c>
      <c r="M23">
        <v>16.440000000000001</v>
      </c>
      <c r="N23" t="s">
        <v>89</v>
      </c>
      <c r="O23">
        <v>18.8</v>
      </c>
      <c r="P23">
        <v>0.4</v>
      </c>
    </row>
    <row r="24" spans="1:16" x14ac:dyDescent="0.45">
      <c r="A24" t="s">
        <v>90</v>
      </c>
      <c r="B24" t="s">
        <v>91</v>
      </c>
      <c r="C24" t="s">
        <v>18</v>
      </c>
      <c r="D24">
        <v>77.319999999999993</v>
      </c>
      <c r="E24">
        <v>21.07</v>
      </c>
      <c r="F24">
        <v>0.80040020000000001</v>
      </c>
      <c r="G24">
        <v>2.37</v>
      </c>
      <c r="H24">
        <v>89.81</v>
      </c>
      <c r="I24">
        <v>66.72</v>
      </c>
      <c r="J24">
        <v>7599609494</v>
      </c>
      <c r="K24">
        <v>531800000</v>
      </c>
      <c r="L24">
        <v>4.2652320000000001</v>
      </c>
      <c r="M24">
        <v>20.48</v>
      </c>
      <c r="N24" t="s">
        <v>92</v>
      </c>
      <c r="O24">
        <v>7.6</v>
      </c>
      <c r="P24">
        <v>0.5</v>
      </c>
    </row>
    <row r="25" spans="1:16" x14ac:dyDescent="0.45">
      <c r="A25" t="s">
        <v>93</v>
      </c>
      <c r="B25" t="s">
        <v>94</v>
      </c>
      <c r="C25" t="s">
        <v>25</v>
      </c>
      <c r="D25">
        <v>164.2</v>
      </c>
      <c r="E25">
        <v>10.65</v>
      </c>
      <c r="F25">
        <v>1.643289</v>
      </c>
      <c r="G25">
        <v>38.35</v>
      </c>
      <c r="H25">
        <v>256.8</v>
      </c>
      <c r="I25">
        <v>160.07</v>
      </c>
      <c r="J25">
        <v>56668833898</v>
      </c>
      <c r="K25">
        <v>-2888100000</v>
      </c>
      <c r="L25">
        <v>4.8201150000000004</v>
      </c>
      <c r="M25">
        <v>0.83</v>
      </c>
      <c r="N25" t="s">
        <v>95</v>
      </c>
      <c r="O25">
        <v>56.7</v>
      </c>
      <c r="P25">
        <v>-2.9</v>
      </c>
    </row>
    <row r="26" spans="1:16" x14ac:dyDescent="0.45">
      <c r="A26" t="s">
        <v>96</v>
      </c>
      <c r="B26" t="s">
        <v>97</v>
      </c>
      <c r="C26" t="s">
        <v>32</v>
      </c>
      <c r="D26">
        <v>240.6</v>
      </c>
      <c r="E26">
        <v>13.02</v>
      </c>
      <c r="F26">
        <v>0.92401219999999995</v>
      </c>
      <c r="G26">
        <v>14.13</v>
      </c>
      <c r="H26">
        <v>278.33</v>
      </c>
      <c r="I26">
        <v>209</v>
      </c>
      <c r="J26">
        <v>13632608582</v>
      </c>
      <c r="K26">
        <v>2143200000</v>
      </c>
      <c r="L26">
        <v>1.7282298</v>
      </c>
      <c r="M26">
        <v>8.2799999999999994</v>
      </c>
      <c r="N26" t="s">
        <v>98</v>
      </c>
      <c r="O26">
        <v>13.6</v>
      </c>
      <c r="P26">
        <v>2.1</v>
      </c>
    </row>
    <row r="27" spans="1:16" x14ac:dyDescent="0.45">
      <c r="A27" t="s">
        <v>99</v>
      </c>
      <c r="B27" t="s">
        <v>100</v>
      </c>
      <c r="C27" t="s">
        <v>52</v>
      </c>
      <c r="D27">
        <v>37.14</v>
      </c>
      <c r="E27">
        <v>19.86</v>
      </c>
      <c r="F27">
        <v>3.5733332999999998</v>
      </c>
      <c r="G27">
        <v>1.65</v>
      </c>
      <c r="H27">
        <v>45.55</v>
      </c>
      <c r="I27">
        <v>36.840000000000003</v>
      </c>
      <c r="J27">
        <v>8670163500</v>
      </c>
      <c r="K27">
        <v>1168400000</v>
      </c>
      <c r="L27">
        <v>3.4331480999999999</v>
      </c>
      <c r="M27">
        <v>2.13</v>
      </c>
      <c r="N27" t="s">
        <v>101</v>
      </c>
      <c r="O27">
        <v>8.6999999999999993</v>
      </c>
      <c r="P27">
        <v>1.2</v>
      </c>
    </row>
    <row r="28" spans="1:16" x14ac:dyDescent="0.45">
      <c r="A28" t="s">
        <v>102</v>
      </c>
      <c r="B28" t="s">
        <v>103</v>
      </c>
      <c r="C28" t="s">
        <v>59</v>
      </c>
      <c r="D28">
        <v>90.06</v>
      </c>
      <c r="E28">
        <v>13.26</v>
      </c>
      <c r="F28">
        <v>1.5278208</v>
      </c>
      <c r="G28">
        <v>4.68</v>
      </c>
      <c r="H28">
        <v>105.36</v>
      </c>
      <c r="I28">
        <v>77.73</v>
      </c>
      <c r="J28">
        <v>34759468905</v>
      </c>
      <c r="K28">
        <v>0</v>
      </c>
      <c r="L28">
        <v>1.2085556</v>
      </c>
      <c r="M28">
        <v>1.67</v>
      </c>
      <c r="N28" t="s">
        <v>104</v>
      </c>
      <c r="O28">
        <v>34.799999999999997</v>
      </c>
      <c r="P28">
        <v>0</v>
      </c>
    </row>
    <row r="29" spans="1:16" x14ac:dyDescent="0.45">
      <c r="A29" t="s">
        <v>105</v>
      </c>
      <c r="B29" t="s">
        <v>106</v>
      </c>
      <c r="C29" t="s">
        <v>32</v>
      </c>
      <c r="D29">
        <v>1007.71</v>
      </c>
      <c r="E29">
        <v>31.48</v>
      </c>
      <c r="F29">
        <v>0</v>
      </c>
      <c r="G29">
        <v>22.27</v>
      </c>
      <c r="H29">
        <v>1198</v>
      </c>
      <c r="I29">
        <v>824.3</v>
      </c>
      <c r="J29">
        <v>733823966137</v>
      </c>
      <c r="K29">
        <v>34217000000</v>
      </c>
      <c r="L29">
        <v>6.8016920000000001</v>
      </c>
      <c r="M29">
        <v>4.7</v>
      </c>
      <c r="N29" t="s">
        <v>107</v>
      </c>
      <c r="O29">
        <v>733.8</v>
      </c>
      <c r="P29">
        <v>34.200000000000003</v>
      </c>
    </row>
    <row r="30" spans="1:16" x14ac:dyDescent="0.45">
      <c r="A30" t="s">
        <v>108</v>
      </c>
      <c r="B30" t="s">
        <v>109</v>
      </c>
      <c r="C30" t="s">
        <v>32</v>
      </c>
      <c r="D30">
        <v>1001.52</v>
      </c>
      <c r="E30">
        <v>40.29</v>
      </c>
      <c r="F30">
        <v>0</v>
      </c>
      <c r="G30">
        <v>22.27</v>
      </c>
      <c r="H30">
        <v>1186.8900000000001</v>
      </c>
      <c r="I30">
        <v>803.19029999999998</v>
      </c>
      <c r="J30">
        <v>728535558140</v>
      </c>
      <c r="K30">
        <v>32714000000</v>
      </c>
      <c r="L30">
        <v>6.772653</v>
      </c>
      <c r="M30">
        <v>4.67</v>
      </c>
      <c r="N30" t="s">
        <v>110</v>
      </c>
      <c r="O30">
        <v>728.5</v>
      </c>
      <c r="P30">
        <v>32.700000000000003</v>
      </c>
    </row>
    <row r="31" spans="1:16" x14ac:dyDescent="0.45">
      <c r="A31" t="s">
        <v>111</v>
      </c>
      <c r="B31" t="s">
        <v>112</v>
      </c>
      <c r="C31" t="s">
        <v>113</v>
      </c>
      <c r="D31">
        <v>64.05</v>
      </c>
      <c r="E31">
        <v>18.89</v>
      </c>
      <c r="F31">
        <v>3.9526875000000001</v>
      </c>
      <c r="G31">
        <v>5.31</v>
      </c>
      <c r="H31">
        <v>77.790000000000006</v>
      </c>
      <c r="I31">
        <v>60.01</v>
      </c>
      <c r="J31">
        <v>126985101434</v>
      </c>
      <c r="K31">
        <v>10773000000</v>
      </c>
      <c r="L31">
        <v>4.9456819999999997</v>
      </c>
      <c r="M31">
        <v>10.32</v>
      </c>
      <c r="N31" t="s">
        <v>114</v>
      </c>
      <c r="O31">
        <v>127</v>
      </c>
      <c r="P31">
        <v>10.8</v>
      </c>
    </row>
    <row r="32" spans="1:16" x14ac:dyDescent="0.45">
      <c r="A32" t="s">
        <v>115</v>
      </c>
      <c r="B32" t="s">
        <v>116</v>
      </c>
      <c r="C32" t="s">
        <v>45</v>
      </c>
      <c r="D32">
        <v>1350.5</v>
      </c>
      <c r="E32">
        <v>296.16000000000003</v>
      </c>
      <c r="F32">
        <v>0</v>
      </c>
      <c r="G32">
        <v>6.16</v>
      </c>
      <c r="H32">
        <v>1498</v>
      </c>
      <c r="I32">
        <v>812.5</v>
      </c>
      <c r="J32">
        <v>685873374731</v>
      </c>
      <c r="K32">
        <v>16132000000</v>
      </c>
      <c r="L32">
        <v>3.9270529999999999</v>
      </c>
      <c r="M32">
        <v>24.28</v>
      </c>
      <c r="N32" t="s">
        <v>117</v>
      </c>
      <c r="O32">
        <v>685.9</v>
      </c>
      <c r="P32">
        <v>16.100000000000001</v>
      </c>
    </row>
    <row r="33" spans="1:16" x14ac:dyDescent="0.45">
      <c r="A33" t="s">
        <v>118</v>
      </c>
      <c r="B33" t="s">
        <v>119</v>
      </c>
      <c r="C33" t="s">
        <v>52</v>
      </c>
      <c r="D33">
        <v>52.59</v>
      </c>
      <c r="E33">
        <v>20.38</v>
      </c>
      <c r="F33">
        <v>3.4404963999999998</v>
      </c>
      <c r="G33">
        <v>2.68</v>
      </c>
      <c r="H33">
        <v>64.89</v>
      </c>
      <c r="I33">
        <v>51.81</v>
      </c>
      <c r="J33">
        <v>12905744906</v>
      </c>
      <c r="K33">
        <v>2298000000</v>
      </c>
      <c r="L33">
        <v>2.6931189999999998</v>
      </c>
      <c r="M33">
        <v>1.79</v>
      </c>
      <c r="N33" t="s">
        <v>120</v>
      </c>
      <c r="O33">
        <v>12.9</v>
      </c>
      <c r="P33">
        <v>2.2999999999999998</v>
      </c>
    </row>
    <row r="34" spans="1:16" x14ac:dyDescent="0.45">
      <c r="A34" t="s">
        <v>121</v>
      </c>
      <c r="B34" t="s">
        <v>122</v>
      </c>
      <c r="C34" t="s">
        <v>18</v>
      </c>
      <c r="D34">
        <v>48.6</v>
      </c>
      <c r="E34">
        <v>9.92</v>
      </c>
      <c r="F34">
        <v>0.77821010000000002</v>
      </c>
      <c r="G34">
        <v>3.91</v>
      </c>
      <c r="H34">
        <v>59.08</v>
      </c>
      <c r="I34">
        <v>39.21</v>
      </c>
      <c r="J34">
        <v>24594852352</v>
      </c>
      <c r="K34">
        <v>5761000000</v>
      </c>
      <c r="L34">
        <v>0.58022565000000004</v>
      </c>
      <c r="M34">
        <v>6.03</v>
      </c>
      <c r="N34" t="s">
        <v>123</v>
      </c>
      <c r="O34">
        <v>24.6</v>
      </c>
      <c r="P34">
        <v>5.8</v>
      </c>
    </row>
    <row r="35" spans="1:16" x14ac:dyDescent="0.45">
      <c r="A35" t="s">
        <v>124</v>
      </c>
      <c r="B35" t="s">
        <v>125</v>
      </c>
      <c r="C35" t="s">
        <v>52</v>
      </c>
      <c r="D35">
        <v>63.38</v>
      </c>
      <c r="E35">
        <v>17.32</v>
      </c>
      <c r="F35">
        <v>3.8479443</v>
      </c>
      <c r="G35">
        <v>1.24</v>
      </c>
      <c r="H35">
        <v>78.069999999999993</v>
      </c>
      <c r="I35">
        <v>62.69</v>
      </c>
      <c r="J35">
        <v>31701916517</v>
      </c>
      <c r="K35">
        <v>4450800000</v>
      </c>
      <c r="L35">
        <v>2.7489933999999998</v>
      </c>
      <c r="M35">
        <v>1.81</v>
      </c>
      <c r="N35" t="s">
        <v>126</v>
      </c>
      <c r="O35">
        <v>31.7</v>
      </c>
      <c r="P35">
        <v>4.5</v>
      </c>
    </row>
    <row r="36" spans="1:16" x14ac:dyDescent="0.45">
      <c r="A36" t="s">
        <v>127</v>
      </c>
      <c r="B36" t="s">
        <v>128</v>
      </c>
      <c r="C36" t="s">
        <v>59</v>
      </c>
      <c r="D36">
        <v>88.34</v>
      </c>
      <c r="E36">
        <v>15</v>
      </c>
      <c r="F36">
        <v>1.4955666999999999</v>
      </c>
      <c r="G36">
        <v>2.9</v>
      </c>
      <c r="H36">
        <v>102.38500000000001</v>
      </c>
      <c r="I36">
        <v>75.510000000000005</v>
      </c>
      <c r="J36">
        <v>80410990000</v>
      </c>
      <c r="K36">
        <v>0</v>
      </c>
      <c r="L36">
        <v>2.2735750000000001</v>
      </c>
      <c r="M36">
        <v>3.75</v>
      </c>
      <c r="N36" t="s">
        <v>129</v>
      </c>
      <c r="O36">
        <v>80.400000000000006</v>
      </c>
      <c r="P36">
        <v>0</v>
      </c>
    </row>
    <row r="37" spans="1:16" x14ac:dyDescent="0.45">
      <c r="A37" t="s">
        <v>130</v>
      </c>
      <c r="B37" t="s">
        <v>131</v>
      </c>
      <c r="C37" t="s">
        <v>59</v>
      </c>
      <c r="D37">
        <v>58.28</v>
      </c>
      <c r="E37">
        <v>23.22</v>
      </c>
      <c r="F37">
        <v>2.1167520999999998</v>
      </c>
      <c r="G37">
        <v>-0.76</v>
      </c>
      <c r="H37">
        <v>67.3</v>
      </c>
      <c r="I37">
        <v>57.85</v>
      </c>
      <c r="J37">
        <v>54360073164</v>
      </c>
      <c r="K37">
        <v>0</v>
      </c>
      <c r="L37">
        <v>1.4686535999999999</v>
      </c>
      <c r="M37">
        <v>0.75</v>
      </c>
      <c r="N37" t="s">
        <v>132</v>
      </c>
      <c r="O37">
        <v>54.4</v>
      </c>
      <c r="P37">
        <v>0</v>
      </c>
    </row>
    <row r="38" spans="1:16" x14ac:dyDescent="0.45">
      <c r="A38" t="s">
        <v>133</v>
      </c>
      <c r="B38" t="s">
        <v>134</v>
      </c>
      <c r="C38" t="s">
        <v>82</v>
      </c>
      <c r="D38">
        <v>133.57</v>
      </c>
      <c r="E38">
        <v>20.68</v>
      </c>
      <c r="F38">
        <v>2</v>
      </c>
      <c r="G38">
        <v>1.97</v>
      </c>
      <c r="H38">
        <v>155.28</v>
      </c>
      <c r="I38">
        <v>103.36</v>
      </c>
      <c r="J38">
        <v>59213892640</v>
      </c>
      <c r="K38">
        <v>3792383000</v>
      </c>
      <c r="L38">
        <v>11.954136999999999</v>
      </c>
      <c r="M38">
        <v>9.2200000000000006</v>
      </c>
      <c r="N38" t="s">
        <v>135</v>
      </c>
      <c r="O38">
        <v>59.2</v>
      </c>
      <c r="P38">
        <v>3.8</v>
      </c>
    </row>
    <row r="39" spans="1:16" x14ac:dyDescent="0.45">
      <c r="A39" t="s">
        <v>136</v>
      </c>
      <c r="B39" t="s">
        <v>137</v>
      </c>
      <c r="C39" t="s">
        <v>52</v>
      </c>
      <c r="D39">
        <v>76.06</v>
      </c>
      <c r="E39">
        <v>26.23</v>
      </c>
      <c r="F39">
        <v>2.1292970000000002</v>
      </c>
      <c r="G39">
        <v>2.63</v>
      </c>
      <c r="H39">
        <v>92.37</v>
      </c>
      <c r="I39">
        <v>71.89</v>
      </c>
      <c r="J39">
        <v>13906146184</v>
      </c>
      <c r="K39">
        <v>1711000000</v>
      </c>
      <c r="L39">
        <v>5.553833</v>
      </c>
      <c r="M39">
        <v>2.5499999999999998</v>
      </c>
      <c r="N39" t="s">
        <v>138</v>
      </c>
      <c r="O39">
        <v>13.9</v>
      </c>
      <c r="P39">
        <v>1.7</v>
      </c>
    </row>
    <row r="40" spans="1:16" x14ac:dyDescent="0.45">
      <c r="A40" t="s">
        <v>139</v>
      </c>
      <c r="B40" t="s">
        <v>140</v>
      </c>
      <c r="C40" t="s">
        <v>59</v>
      </c>
      <c r="D40">
        <v>152.5</v>
      </c>
      <c r="E40">
        <v>12.41</v>
      </c>
      <c r="F40">
        <v>2.0735743000000002</v>
      </c>
      <c r="G40">
        <v>9.44</v>
      </c>
      <c r="H40">
        <v>183.9</v>
      </c>
      <c r="I40">
        <v>118.84</v>
      </c>
      <c r="J40">
        <v>23472126000</v>
      </c>
      <c r="K40">
        <v>0</v>
      </c>
      <c r="L40">
        <v>1.9493247</v>
      </c>
      <c r="M40">
        <v>3.73</v>
      </c>
      <c r="N40" t="s">
        <v>141</v>
      </c>
      <c r="O40">
        <v>23.5</v>
      </c>
      <c r="P40">
        <v>0</v>
      </c>
    </row>
    <row r="41" spans="1:16" x14ac:dyDescent="0.45">
      <c r="A41" t="s">
        <v>142</v>
      </c>
      <c r="B41" t="s">
        <v>143</v>
      </c>
      <c r="C41" t="s">
        <v>25</v>
      </c>
      <c r="D41">
        <v>91.55</v>
      </c>
      <c r="E41">
        <v>15.54</v>
      </c>
      <c r="F41">
        <v>1.6132455999999999</v>
      </c>
      <c r="G41">
        <v>1.64</v>
      </c>
      <c r="H41">
        <v>106.27</v>
      </c>
      <c r="I41">
        <v>71.900000000000006</v>
      </c>
      <c r="J41">
        <v>20587704101</v>
      </c>
      <c r="K41">
        <v>991884000</v>
      </c>
      <c r="L41">
        <v>0.17396983999999999</v>
      </c>
      <c r="M41">
        <v>9.73</v>
      </c>
      <c r="N41" t="s">
        <v>144</v>
      </c>
      <c r="O41">
        <v>20.6</v>
      </c>
      <c r="P41">
        <v>1</v>
      </c>
    </row>
    <row r="42" spans="1:16" x14ac:dyDescent="0.45">
      <c r="A42" t="s">
        <v>145</v>
      </c>
      <c r="B42" t="s">
        <v>146</v>
      </c>
      <c r="C42" t="s">
        <v>18</v>
      </c>
      <c r="D42">
        <v>72.05</v>
      </c>
      <c r="E42">
        <v>27.61</v>
      </c>
      <c r="F42">
        <v>0.75512402999999995</v>
      </c>
      <c r="G42">
        <v>2.94</v>
      </c>
      <c r="H42">
        <v>78.510000000000005</v>
      </c>
      <c r="I42">
        <v>51.31</v>
      </c>
      <c r="J42">
        <v>17139651923</v>
      </c>
      <c r="K42">
        <v>1025763000</v>
      </c>
      <c r="L42">
        <v>4.0153679999999996</v>
      </c>
      <c r="M42">
        <v>4.54</v>
      </c>
      <c r="N42" t="s">
        <v>147</v>
      </c>
      <c r="O42">
        <v>17.100000000000001</v>
      </c>
      <c r="P42">
        <v>1</v>
      </c>
    </row>
    <row r="43" spans="1:16" x14ac:dyDescent="0.45">
      <c r="A43" t="s">
        <v>148</v>
      </c>
      <c r="B43" t="s">
        <v>149</v>
      </c>
      <c r="C43" t="s">
        <v>25</v>
      </c>
      <c r="D43">
        <v>173.12</v>
      </c>
      <c r="E43">
        <v>13.76</v>
      </c>
      <c r="F43">
        <v>2.9751508000000002</v>
      </c>
      <c r="G43">
        <v>2.57</v>
      </c>
      <c r="H43">
        <v>201.23</v>
      </c>
      <c r="I43">
        <v>152.16</v>
      </c>
      <c r="J43">
        <v>128133340000</v>
      </c>
      <c r="K43">
        <v>11945000000</v>
      </c>
      <c r="L43">
        <v>5.5819200000000002</v>
      </c>
      <c r="M43">
        <v>3.91</v>
      </c>
      <c r="N43" t="s">
        <v>150</v>
      </c>
      <c r="O43">
        <v>128.1</v>
      </c>
      <c r="P43">
        <v>11.9</v>
      </c>
    </row>
    <row r="44" spans="1:16" x14ac:dyDescent="0.45">
      <c r="A44" t="s">
        <v>151</v>
      </c>
      <c r="B44" t="s">
        <v>152</v>
      </c>
      <c r="C44" t="s">
        <v>32</v>
      </c>
      <c r="D44">
        <v>84.44</v>
      </c>
      <c r="E44">
        <v>25.9</v>
      </c>
      <c r="F44">
        <v>0.86089709999999997</v>
      </c>
      <c r="G44">
        <v>2.0499999999999998</v>
      </c>
      <c r="H44">
        <v>93.62</v>
      </c>
      <c r="I44">
        <v>67.260000000000005</v>
      </c>
      <c r="J44">
        <v>26955335395</v>
      </c>
      <c r="K44">
        <v>1671700000</v>
      </c>
      <c r="L44">
        <v>3.8567499999999999</v>
      </c>
      <c r="M44">
        <v>6.64</v>
      </c>
      <c r="N44" t="s">
        <v>153</v>
      </c>
      <c r="O44">
        <v>27</v>
      </c>
      <c r="P44">
        <v>1.7</v>
      </c>
    </row>
    <row r="45" spans="1:16" x14ac:dyDescent="0.45">
      <c r="A45" t="s">
        <v>154</v>
      </c>
      <c r="B45" t="s">
        <v>155</v>
      </c>
      <c r="C45" t="s">
        <v>156</v>
      </c>
      <c r="D45">
        <v>56.2</v>
      </c>
      <c r="E45">
        <v>-21.29</v>
      </c>
      <c r="F45">
        <v>1.7029973</v>
      </c>
      <c r="G45">
        <v>-5.9</v>
      </c>
      <c r="H45">
        <v>70</v>
      </c>
      <c r="I45">
        <v>39.96</v>
      </c>
      <c r="J45">
        <v>32129091747</v>
      </c>
      <c r="K45">
        <v>3115000000</v>
      </c>
      <c r="L45">
        <v>3.9682211999999999</v>
      </c>
      <c r="M45">
        <v>2.88</v>
      </c>
      <c r="N45" t="s">
        <v>157</v>
      </c>
      <c r="O45">
        <v>32.1</v>
      </c>
      <c r="P45">
        <v>3.1</v>
      </c>
    </row>
    <row r="46" spans="1:16" x14ac:dyDescent="0.45">
      <c r="A46" t="s">
        <v>158</v>
      </c>
      <c r="B46" t="s">
        <v>159</v>
      </c>
      <c r="C46" t="s">
        <v>32</v>
      </c>
      <c r="D46">
        <v>82.68</v>
      </c>
      <c r="E46">
        <v>17.670000000000002</v>
      </c>
      <c r="F46">
        <v>2.1089630000000001</v>
      </c>
      <c r="G46">
        <v>2.11</v>
      </c>
      <c r="H46">
        <v>98.38</v>
      </c>
      <c r="I46">
        <v>74.650000000000006</v>
      </c>
      <c r="J46">
        <v>31811578855</v>
      </c>
      <c r="K46">
        <v>1663384000</v>
      </c>
      <c r="L46">
        <v>8.0039099999999994</v>
      </c>
      <c r="M46">
        <v>3.13</v>
      </c>
      <c r="N46" t="s">
        <v>160</v>
      </c>
      <c r="O46">
        <v>31.8</v>
      </c>
      <c r="P46">
        <v>1.7</v>
      </c>
    </row>
    <row r="47" spans="1:16" x14ac:dyDescent="0.45">
      <c r="A47" t="s">
        <v>161</v>
      </c>
      <c r="B47" t="s">
        <v>162</v>
      </c>
      <c r="C47" t="s">
        <v>156</v>
      </c>
      <c r="D47">
        <v>96.9</v>
      </c>
      <c r="E47">
        <v>18.78</v>
      </c>
      <c r="F47">
        <v>2.3454583000000002</v>
      </c>
      <c r="G47">
        <v>6.13</v>
      </c>
      <c r="H47">
        <v>121.71</v>
      </c>
      <c r="I47">
        <v>75.11</v>
      </c>
      <c r="J47">
        <v>15696449735</v>
      </c>
      <c r="K47">
        <v>2548000000</v>
      </c>
      <c r="L47">
        <v>0.66181650000000003</v>
      </c>
      <c r="M47">
        <v>1.7</v>
      </c>
      <c r="N47" t="s">
        <v>163</v>
      </c>
      <c r="O47">
        <v>15.7</v>
      </c>
      <c r="P47">
        <v>2.5</v>
      </c>
    </row>
    <row r="48" spans="1:16" x14ac:dyDescent="0.45">
      <c r="A48" t="s">
        <v>164</v>
      </c>
      <c r="B48" t="s">
        <v>165</v>
      </c>
      <c r="C48" t="s">
        <v>32</v>
      </c>
      <c r="D48">
        <v>148.84</v>
      </c>
      <c r="E48">
        <v>42.53</v>
      </c>
      <c r="F48">
        <v>0</v>
      </c>
      <c r="G48">
        <v>2.99</v>
      </c>
      <c r="H48">
        <v>164.9</v>
      </c>
      <c r="I48">
        <v>94.52</v>
      </c>
      <c r="J48">
        <v>13155919129</v>
      </c>
      <c r="K48">
        <v>458515000</v>
      </c>
      <c r="L48">
        <v>16.813400000000001</v>
      </c>
      <c r="M48">
        <v>5.79</v>
      </c>
      <c r="N48" t="s">
        <v>166</v>
      </c>
      <c r="O48">
        <v>13.2</v>
      </c>
      <c r="P48">
        <v>0.5</v>
      </c>
    </row>
    <row r="49" spans="1:16" x14ac:dyDescent="0.45">
      <c r="A49" t="s">
        <v>167</v>
      </c>
      <c r="B49" t="s">
        <v>168</v>
      </c>
      <c r="C49" t="s">
        <v>25</v>
      </c>
      <c r="D49">
        <v>230.57</v>
      </c>
      <c r="E49">
        <v>19.23</v>
      </c>
      <c r="F49">
        <v>1.2581781000000001</v>
      </c>
      <c r="G49">
        <v>14.36</v>
      </c>
      <c r="H49">
        <v>267.95</v>
      </c>
      <c r="I49">
        <v>156.81</v>
      </c>
      <c r="J49">
        <v>61221978627</v>
      </c>
      <c r="K49">
        <v>0</v>
      </c>
      <c r="L49">
        <v>0.66965209999999997</v>
      </c>
      <c r="M49">
        <v>2.2799999999999998</v>
      </c>
      <c r="N49" t="s">
        <v>169</v>
      </c>
      <c r="O49">
        <v>61.2</v>
      </c>
      <c r="P49">
        <v>0</v>
      </c>
    </row>
    <row r="50" spans="1:16" x14ac:dyDescent="0.45">
      <c r="A50" t="s">
        <v>170</v>
      </c>
      <c r="B50" t="s">
        <v>171</v>
      </c>
      <c r="C50" t="s">
        <v>59</v>
      </c>
      <c r="D50">
        <v>136.05000000000001</v>
      </c>
      <c r="E50">
        <v>20.8</v>
      </c>
      <c r="F50">
        <v>1.0245464</v>
      </c>
      <c r="G50">
        <v>4.66</v>
      </c>
      <c r="H50">
        <v>152.78</v>
      </c>
      <c r="I50">
        <v>113.2201</v>
      </c>
      <c r="J50">
        <v>35123123422</v>
      </c>
      <c r="K50">
        <v>1858000000</v>
      </c>
      <c r="L50">
        <v>3.4972682000000002</v>
      </c>
      <c r="M50">
        <v>6.78</v>
      </c>
      <c r="N50" t="s">
        <v>172</v>
      </c>
      <c r="O50">
        <v>35.1</v>
      </c>
      <c r="P50">
        <v>1.9</v>
      </c>
    </row>
    <row r="51" spans="1:16" x14ac:dyDescent="0.45">
      <c r="A51" t="s">
        <v>173</v>
      </c>
      <c r="B51" t="s">
        <v>174</v>
      </c>
      <c r="C51" t="s">
        <v>156</v>
      </c>
      <c r="D51">
        <v>37.729999999999997</v>
      </c>
      <c r="E51">
        <v>-251.53</v>
      </c>
      <c r="F51">
        <v>2.5284450000000001</v>
      </c>
      <c r="G51">
        <v>-3.72</v>
      </c>
      <c r="H51">
        <v>57.9</v>
      </c>
      <c r="I51">
        <v>38.14</v>
      </c>
      <c r="J51">
        <v>15066280977</v>
      </c>
      <c r="K51">
        <v>3265000000</v>
      </c>
      <c r="L51">
        <v>3.6513659999999999</v>
      </c>
      <c r="M51">
        <v>2.2200000000000002</v>
      </c>
      <c r="N51" t="s">
        <v>175</v>
      </c>
      <c r="O51">
        <v>15.1</v>
      </c>
      <c r="P51">
        <v>3.3</v>
      </c>
    </row>
    <row r="52" spans="1:16" x14ac:dyDescent="0.45">
      <c r="A52" t="s">
        <v>176</v>
      </c>
      <c r="B52" t="s">
        <v>177</v>
      </c>
      <c r="C52" t="s">
        <v>82</v>
      </c>
      <c r="D52">
        <v>38.21</v>
      </c>
      <c r="E52">
        <v>15.6</v>
      </c>
      <c r="F52">
        <v>3.8765619999999998</v>
      </c>
      <c r="G52">
        <v>1.95</v>
      </c>
      <c r="H52">
        <v>46.854999999999997</v>
      </c>
      <c r="I52">
        <v>38.85</v>
      </c>
      <c r="J52">
        <v>6156884142</v>
      </c>
      <c r="K52">
        <v>874871000</v>
      </c>
      <c r="L52">
        <v>6.187621</v>
      </c>
      <c r="M52">
        <v>4.6900000000000004</v>
      </c>
      <c r="N52" t="s">
        <v>178</v>
      </c>
      <c r="O52">
        <v>6.2</v>
      </c>
      <c r="P52">
        <v>0.9</v>
      </c>
    </row>
    <row r="53" spans="1:16" x14ac:dyDescent="0.45">
      <c r="A53" t="s">
        <v>179</v>
      </c>
      <c r="B53" t="s">
        <v>180</v>
      </c>
      <c r="C53" t="s">
        <v>32</v>
      </c>
      <c r="D53">
        <v>155.15</v>
      </c>
      <c r="E53">
        <v>16.86</v>
      </c>
      <c r="F53">
        <v>1.5795412</v>
      </c>
      <c r="G53">
        <v>9.1999999999999993</v>
      </c>
      <c r="H53">
        <v>180.1</v>
      </c>
      <c r="I53">
        <v>131.12</v>
      </c>
      <c r="J53">
        <v>809508034020</v>
      </c>
      <c r="K53">
        <v>79386000000</v>
      </c>
      <c r="L53">
        <v>3.4586093</v>
      </c>
      <c r="M53">
        <v>5.66</v>
      </c>
      <c r="N53" t="s">
        <v>181</v>
      </c>
      <c r="O53">
        <v>809.5</v>
      </c>
      <c r="P53">
        <v>79.400000000000006</v>
      </c>
    </row>
    <row r="54" spans="1:16" x14ac:dyDescent="0.45">
      <c r="A54" t="s">
        <v>182</v>
      </c>
      <c r="B54" t="s">
        <v>183</v>
      </c>
      <c r="C54" t="s">
        <v>32</v>
      </c>
      <c r="D54">
        <v>45.75</v>
      </c>
      <c r="E54">
        <v>14.08</v>
      </c>
      <c r="F54">
        <v>0.82152389999999997</v>
      </c>
      <c r="G54">
        <v>3.17</v>
      </c>
      <c r="H54">
        <v>60.89</v>
      </c>
      <c r="I54">
        <v>34.58</v>
      </c>
      <c r="J54">
        <v>51296481503</v>
      </c>
      <c r="K54">
        <v>4336000000</v>
      </c>
      <c r="L54">
        <v>4.7020153999999996</v>
      </c>
      <c r="M54">
        <v>5.44</v>
      </c>
      <c r="N54" t="s">
        <v>184</v>
      </c>
      <c r="O54">
        <v>51.3</v>
      </c>
      <c r="P54">
        <v>4.3</v>
      </c>
    </row>
    <row r="55" spans="1:16" x14ac:dyDescent="0.45">
      <c r="A55" t="s">
        <v>185</v>
      </c>
      <c r="B55" t="s">
        <v>186</v>
      </c>
      <c r="C55" t="s">
        <v>45</v>
      </c>
      <c r="D55">
        <v>89.27</v>
      </c>
      <c r="E55">
        <v>69.739999999999995</v>
      </c>
      <c r="F55">
        <v>0.93926779999999999</v>
      </c>
      <c r="G55">
        <v>5.05</v>
      </c>
      <c r="H55">
        <v>96.91</v>
      </c>
      <c r="I55">
        <v>82.97</v>
      </c>
      <c r="J55">
        <v>24906530300</v>
      </c>
      <c r="K55">
        <v>2370000000</v>
      </c>
      <c r="L55">
        <v>1.5025797999999999</v>
      </c>
      <c r="M55">
        <v>7.56</v>
      </c>
      <c r="N55" t="s">
        <v>187</v>
      </c>
      <c r="O55">
        <v>24.9</v>
      </c>
      <c r="P55">
        <v>2.4</v>
      </c>
    </row>
    <row r="56" spans="1:16" x14ac:dyDescent="0.45">
      <c r="A56" t="s">
        <v>188</v>
      </c>
      <c r="B56" t="s">
        <v>189</v>
      </c>
      <c r="C56" t="s">
        <v>113</v>
      </c>
      <c r="D56">
        <v>41.35</v>
      </c>
      <c r="E56">
        <v>17.45</v>
      </c>
      <c r="F56">
        <v>3.1761081</v>
      </c>
      <c r="G56">
        <v>2.17</v>
      </c>
      <c r="H56">
        <v>47.44</v>
      </c>
      <c r="I56">
        <v>38.590000000000003</v>
      </c>
      <c r="J56">
        <v>23594770663</v>
      </c>
      <c r="K56">
        <v>2927000000</v>
      </c>
      <c r="L56">
        <v>0.52478915000000004</v>
      </c>
      <c r="M56">
        <v>1.29</v>
      </c>
      <c r="N56" t="s">
        <v>190</v>
      </c>
      <c r="O56">
        <v>23.6</v>
      </c>
      <c r="P56">
        <v>2.9</v>
      </c>
    </row>
    <row r="57" spans="1:16" x14ac:dyDescent="0.45">
      <c r="A57" t="s">
        <v>191</v>
      </c>
      <c r="B57" t="s">
        <v>192</v>
      </c>
      <c r="C57" t="s">
        <v>18</v>
      </c>
      <c r="D57">
        <v>24.45</v>
      </c>
      <c r="E57">
        <v>20.21</v>
      </c>
      <c r="F57">
        <v>0.95617529999999995</v>
      </c>
      <c r="G57">
        <v>-0.21</v>
      </c>
      <c r="H57">
        <v>31.17</v>
      </c>
      <c r="I57">
        <v>21.754999999999999</v>
      </c>
      <c r="J57">
        <v>12123300000</v>
      </c>
      <c r="K57">
        <v>1517000000</v>
      </c>
      <c r="L57">
        <v>0.94214814999999996</v>
      </c>
      <c r="N57" t="s">
        <v>193</v>
      </c>
      <c r="O57">
        <v>12.1</v>
      </c>
      <c r="P57">
        <v>1.5</v>
      </c>
    </row>
    <row r="58" spans="1:16" x14ac:dyDescent="0.45">
      <c r="A58" t="s">
        <v>194</v>
      </c>
      <c r="B58" t="s">
        <v>195</v>
      </c>
      <c r="C58" t="s">
        <v>59</v>
      </c>
      <c r="D58">
        <v>64.400000000000006</v>
      </c>
      <c r="E58">
        <v>21.05</v>
      </c>
      <c r="F58">
        <v>2.4807138000000002</v>
      </c>
      <c r="G58">
        <v>2.54</v>
      </c>
      <c r="H58">
        <v>70.55</v>
      </c>
      <c r="I58">
        <v>53.63</v>
      </c>
      <c r="J58">
        <v>11968488290</v>
      </c>
      <c r="K58">
        <v>888000000</v>
      </c>
      <c r="L58">
        <v>1.9400215000000001</v>
      </c>
      <c r="M58">
        <v>2.92</v>
      </c>
      <c r="N58" t="s">
        <v>196</v>
      </c>
      <c r="O58">
        <v>12</v>
      </c>
      <c r="P58">
        <v>0.9</v>
      </c>
    </row>
    <row r="59" spans="1:16" x14ac:dyDescent="0.45">
      <c r="A59" t="s">
        <v>197</v>
      </c>
      <c r="B59" t="s">
        <v>198</v>
      </c>
      <c r="C59" t="s">
        <v>59</v>
      </c>
      <c r="D59">
        <v>85.16</v>
      </c>
      <c r="E59">
        <v>33.270000000000003</v>
      </c>
      <c r="F59">
        <v>2.5313593999999999</v>
      </c>
      <c r="G59">
        <v>9.08</v>
      </c>
      <c r="H59">
        <v>106.985</v>
      </c>
      <c r="I59">
        <v>85.91</v>
      </c>
      <c r="J59">
        <v>4653993594</v>
      </c>
      <c r="K59">
        <v>0</v>
      </c>
      <c r="L59">
        <v>0.98218660000000002</v>
      </c>
      <c r="M59">
        <v>1.1200000000000001</v>
      </c>
      <c r="N59" t="s">
        <v>199</v>
      </c>
      <c r="O59">
        <v>4.7</v>
      </c>
      <c r="P59">
        <v>0</v>
      </c>
    </row>
    <row r="60" spans="1:16" x14ac:dyDescent="0.45">
      <c r="A60" t="s">
        <v>200</v>
      </c>
      <c r="B60" t="s">
        <v>201</v>
      </c>
      <c r="C60" t="s">
        <v>202</v>
      </c>
      <c r="D60">
        <v>35.57</v>
      </c>
      <c r="E60">
        <v>12.14</v>
      </c>
      <c r="F60">
        <v>5.4156513000000004</v>
      </c>
      <c r="G60">
        <v>4.76</v>
      </c>
      <c r="H60">
        <v>42.7</v>
      </c>
      <c r="I60">
        <v>32.549999999999997</v>
      </c>
      <c r="J60">
        <v>226713270000</v>
      </c>
      <c r="K60">
        <v>49653000000</v>
      </c>
      <c r="L60">
        <v>1.4083152000000001</v>
      </c>
      <c r="M60">
        <v>1.8</v>
      </c>
      <c r="N60" t="s">
        <v>203</v>
      </c>
      <c r="O60">
        <v>226.7</v>
      </c>
      <c r="P60">
        <v>49.7</v>
      </c>
    </row>
    <row r="61" spans="1:16" x14ac:dyDescent="0.45">
      <c r="A61" t="s">
        <v>204</v>
      </c>
      <c r="B61" t="s">
        <v>205</v>
      </c>
      <c r="C61" t="s">
        <v>32</v>
      </c>
      <c r="D61">
        <v>104.81</v>
      </c>
      <c r="E61">
        <v>-77.069999999999993</v>
      </c>
      <c r="F61">
        <v>0</v>
      </c>
      <c r="G61">
        <v>-2.61</v>
      </c>
      <c r="H61">
        <v>131.1</v>
      </c>
      <c r="I61">
        <v>81.75</v>
      </c>
      <c r="J61">
        <v>24348294504</v>
      </c>
      <c r="K61">
        <v>-378100000</v>
      </c>
      <c r="L61">
        <v>16.506820000000001</v>
      </c>
      <c r="M61">
        <v>224.13</v>
      </c>
      <c r="N61" t="s">
        <v>206</v>
      </c>
      <c r="O61">
        <v>24.3</v>
      </c>
      <c r="P61">
        <v>-0.4</v>
      </c>
    </row>
    <row r="62" spans="1:16" x14ac:dyDescent="0.45">
      <c r="A62" t="s">
        <v>207</v>
      </c>
      <c r="B62" t="s">
        <v>208</v>
      </c>
      <c r="C62" t="s">
        <v>32</v>
      </c>
      <c r="D62">
        <v>108.25</v>
      </c>
      <c r="E62">
        <v>29.34</v>
      </c>
      <c r="F62">
        <v>2.2190911999999998</v>
      </c>
      <c r="G62">
        <v>3.85</v>
      </c>
      <c r="H62">
        <v>125.24</v>
      </c>
      <c r="I62">
        <v>95.5</v>
      </c>
      <c r="J62">
        <v>50337702249</v>
      </c>
      <c r="K62">
        <v>2767400000</v>
      </c>
      <c r="L62">
        <v>4.0483294000000001</v>
      </c>
      <c r="M62">
        <v>12.86</v>
      </c>
      <c r="N62" t="s">
        <v>209</v>
      </c>
      <c r="O62">
        <v>50.3</v>
      </c>
      <c r="P62">
        <v>2.8</v>
      </c>
    </row>
    <row r="63" spans="1:16" x14ac:dyDescent="0.45">
      <c r="A63" t="s">
        <v>210</v>
      </c>
      <c r="B63" t="s">
        <v>211</v>
      </c>
      <c r="C63" t="s">
        <v>45</v>
      </c>
      <c r="D63">
        <v>718.57</v>
      </c>
      <c r="E63">
        <v>16.309999999999999</v>
      </c>
      <c r="F63">
        <v>0</v>
      </c>
      <c r="G63">
        <v>44.09</v>
      </c>
      <c r="H63">
        <v>797.89</v>
      </c>
      <c r="I63">
        <v>491.13</v>
      </c>
      <c r="J63">
        <v>19922021415</v>
      </c>
      <c r="K63">
        <v>2347304000</v>
      </c>
      <c r="L63">
        <v>1.8510428999999999</v>
      </c>
      <c r="M63">
        <v>136.22999999999999</v>
      </c>
      <c r="N63" t="s">
        <v>212</v>
      </c>
      <c r="O63">
        <v>19.899999999999999</v>
      </c>
      <c r="P63">
        <v>2.2999999999999998</v>
      </c>
    </row>
    <row r="64" spans="1:16" x14ac:dyDescent="0.45">
      <c r="A64" t="s">
        <v>213</v>
      </c>
      <c r="B64" t="s">
        <v>214</v>
      </c>
      <c r="C64" t="s">
        <v>82</v>
      </c>
      <c r="D64">
        <v>154.94</v>
      </c>
      <c r="E64">
        <v>17.97</v>
      </c>
      <c r="F64">
        <v>3.7149355000000002</v>
      </c>
      <c r="G64">
        <v>6.36</v>
      </c>
      <c r="H64">
        <v>199.52</v>
      </c>
      <c r="I64">
        <v>156.01</v>
      </c>
      <c r="J64">
        <v>21856547430</v>
      </c>
      <c r="K64">
        <v>1331579000</v>
      </c>
      <c r="L64">
        <v>10.251215999999999</v>
      </c>
      <c r="M64">
        <v>2.12</v>
      </c>
      <c r="N64" t="s">
        <v>215</v>
      </c>
      <c r="O64">
        <v>21.9</v>
      </c>
      <c r="P64">
        <v>1.3</v>
      </c>
    </row>
    <row r="65" spans="1:16" x14ac:dyDescent="0.45">
      <c r="A65" t="s">
        <v>216</v>
      </c>
      <c r="B65" t="s">
        <v>217</v>
      </c>
      <c r="C65" t="s">
        <v>69</v>
      </c>
      <c r="D65">
        <v>110.77</v>
      </c>
      <c r="E65">
        <v>22.11</v>
      </c>
      <c r="F65">
        <v>1.5682175</v>
      </c>
      <c r="G65">
        <v>3.11</v>
      </c>
      <c r="H65">
        <v>123.67</v>
      </c>
      <c r="I65">
        <v>78.471000000000004</v>
      </c>
      <c r="J65">
        <v>10104814319</v>
      </c>
      <c r="K65">
        <v>831200000</v>
      </c>
      <c r="L65">
        <v>1.5206499</v>
      </c>
      <c r="M65">
        <v>8.83</v>
      </c>
      <c r="N65" t="s">
        <v>218</v>
      </c>
      <c r="O65">
        <v>10.1</v>
      </c>
      <c r="P65">
        <v>0.8</v>
      </c>
    </row>
    <row r="66" spans="1:16" x14ac:dyDescent="0.45">
      <c r="A66" t="s">
        <v>219</v>
      </c>
      <c r="B66" t="s">
        <v>220</v>
      </c>
      <c r="C66" t="s">
        <v>156</v>
      </c>
      <c r="D66">
        <v>27.5</v>
      </c>
      <c r="E66">
        <v>305.56</v>
      </c>
      <c r="F66">
        <v>2.4991322</v>
      </c>
      <c r="G66">
        <v>-0.31</v>
      </c>
      <c r="H66">
        <v>57.73</v>
      </c>
      <c r="I66">
        <v>28.03</v>
      </c>
      <c r="J66">
        <v>32995712852</v>
      </c>
      <c r="K66">
        <v>285000000</v>
      </c>
      <c r="L66">
        <v>1.9390045</v>
      </c>
      <c r="M66">
        <v>2.25</v>
      </c>
      <c r="N66" t="s">
        <v>221</v>
      </c>
      <c r="O66">
        <v>33</v>
      </c>
      <c r="P66">
        <v>0.3</v>
      </c>
    </row>
    <row r="67" spans="1:16" x14ac:dyDescent="0.45">
      <c r="A67" t="s">
        <v>222</v>
      </c>
      <c r="B67" t="s">
        <v>223</v>
      </c>
      <c r="C67" t="s">
        <v>69</v>
      </c>
      <c r="D67">
        <v>38.44</v>
      </c>
      <c r="E67">
        <v>20.56</v>
      </c>
      <c r="F67">
        <v>1.0170353999999999</v>
      </c>
      <c r="G67">
        <v>0.85</v>
      </c>
      <c r="H67">
        <v>43.24</v>
      </c>
      <c r="I67">
        <v>35.6</v>
      </c>
      <c r="J67">
        <v>13767688518</v>
      </c>
      <c r="K67">
        <v>1317000000</v>
      </c>
      <c r="L67">
        <v>1.5696399000000001</v>
      </c>
      <c r="M67">
        <v>3.62</v>
      </c>
      <c r="N67" t="s">
        <v>224</v>
      </c>
      <c r="O67">
        <v>13.8</v>
      </c>
      <c r="P67">
        <v>1.3</v>
      </c>
    </row>
    <row r="68" spans="1:16" x14ac:dyDescent="0.45">
      <c r="A68" t="s">
        <v>225</v>
      </c>
      <c r="B68" t="s">
        <v>226</v>
      </c>
      <c r="C68" t="s">
        <v>59</v>
      </c>
      <c r="D68">
        <v>29.74</v>
      </c>
      <c r="E68">
        <v>16.34</v>
      </c>
      <c r="F68">
        <v>1.536</v>
      </c>
      <c r="G68">
        <v>1.55</v>
      </c>
      <c r="H68">
        <v>32.67</v>
      </c>
      <c r="I68">
        <v>22.07</v>
      </c>
      <c r="J68">
        <v>321478200969</v>
      </c>
      <c r="K68">
        <v>0</v>
      </c>
      <c r="L68">
        <v>3.2011873999999998</v>
      </c>
      <c r="M68">
        <v>1.24</v>
      </c>
      <c r="N68" t="s">
        <v>227</v>
      </c>
      <c r="O68">
        <v>321.5</v>
      </c>
      <c r="P68">
        <v>0</v>
      </c>
    </row>
    <row r="69" spans="1:16" x14ac:dyDescent="0.45">
      <c r="A69" t="s">
        <v>228</v>
      </c>
      <c r="B69" t="s">
        <v>229</v>
      </c>
      <c r="C69" t="s">
        <v>25</v>
      </c>
      <c r="D69">
        <v>62.56</v>
      </c>
      <c r="E69">
        <v>25.12</v>
      </c>
      <c r="F69">
        <v>0.97635393999999998</v>
      </c>
      <c r="G69">
        <v>1.29</v>
      </c>
      <c r="H69">
        <v>72.58</v>
      </c>
      <c r="I69">
        <v>48.15</v>
      </c>
      <c r="J69">
        <v>35713732553</v>
      </c>
      <c r="K69">
        <v>1832000000</v>
      </c>
      <c r="L69">
        <v>3.4394414000000002</v>
      </c>
      <c r="M69">
        <v>3.77</v>
      </c>
      <c r="N69" t="s">
        <v>230</v>
      </c>
      <c r="O69">
        <v>35.700000000000003</v>
      </c>
      <c r="P69">
        <v>1.8</v>
      </c>
    </row>
    <row r="70" spans="1:16" x14ac:dyDescent="0.45">
      <c r="A70" t="s">
        <v>231</v>
      </c>
      <c r="B70" t="s">
        <v>232</v>
      </c>
      <c r="C70" t="s">
        <v>59</v>
      </c>
      <c r="D70">
        <v>51.07</v>
      </c>
      <c r="E70">
        <v>16.260000000000002</v>
      </c>
      <c r="F70">
        <v>2.4526197999999999</v>
      </c>
      <c r="G70">
        <v>2.74</v>
      </c>
      <c r="H70">
        <v>55.99</v>
      </c>
      <c r="I70">
        <v>41.17</v>
      </c>
      <c r="J70">
        <v>42087562920</v>
      </c>
      <c r="K70">
        <v>0</v>
      </c>
      <c r="L70">
        <v>3.4552106999999999</v>
      </c>
      <c r="M70">
        <v>1.55</v>
      </c>
      <c r="N70" t="s">
        <v>233</v>
      </c>
      <c r="O70">
        <v>42.1</v>
      </c>
      <c r="P70">
        <v>0</v>
      </c>
    </row>
    <row r="71" spans="1:16" x14ac:dyDescent="0.45">
      <c r="A71" t="s">
        <v>234</v>
      </c>
      <c r="B71" t="s">
        <v>235</v>
      </c>
      <c r="C71" t="s">
        <v>25</v>
      </c>
      <c r="D71">
        <v>211.44</v>
      </c>
      <c r="E71">
        <v>22.28</v>
      </c>
      <c r="F71">
        <v>1.3518384999999999</v>
      </c>
      <c r="G71">
        <v>4.6500000000000004</v>
      </c>
      <c r="H71">
        <v>248.3888</v>
      </c>
      <c r="I71">
        <v>175.66</v>
      </c>
      <c r="J71">
        <v>50910180308</v>
      </c>
      <c r="K71">
        <v>1537000000</v>
      </c>
      <c r="L71">
        <v>5.6912947000000003</v>
      </c>
      <c r="M71">
        <v>3.98</v>
      </c>
      <c r="N71" t="s">
        <v>236</v>
      </c>
      <c r="O71">
        <v>50.9</v>
      </c>
      <c r="P71">
        <v>1.5</v>
      </c>
    </row>
    <row r="72" spans="1:16" x14ac:dyDescent="0.45">
      <c r="A72" t="s">
        <v>237</v>
      </c>
      <c r="B72" t="s">
        <v>238</v>
      </c>
      <c r="C72" t="s">
        <v>59</v>
      </c>
      <c r="D72">
        <v>191.42</v>
      </c>
      <c r="E72">
        <v>30.43</v>
      </c>
      <c r="F72">
        <v>0</v>
      </c>
      <c r="G72">
        <v>9.76</v>
      </c>
      <c r="H72">
        <v>217.62</v>
      </c>
      <c r="I72">
        <v>160.93</v>
      </c>
      <c r="J72">
        <v>261401203633</v>
      </c>
      <c r="K72">
        <v>0</v>
      </c>
      <c r="L72">
        <v>1.4328232000000001</v>
      </c>
      <c r="M72">
        <v>1.58</v>
      </c>
      <c r="N72" t="s">
        <v>239</v>
      </c>
      <c r="O72">
        <v>261.39999999999998</v>
      </c>
      <c r="P72">
        <v>0</v>
      </c>
    </row>
    <row r="73" spans="1:16" x14ac:dyDescent="0.45">
      <c r="A73" t="s">
        <v>240</v>
      </c>
      <c r="B73" t="s">
        <v>241</v>
      </c>
      <c r="C73" t="s">
        <v>45</v>
      </c>
      <c r="D73">
        <v>68.790000000000006</v>
      </c>
      <c r="E73">
        <v>19.22</v>
      </c>
      <c r="F73">
        <v>1.9085041</v>
      </c>
      <c r="G73">
        <v>3.81</v>
      </c>
      <c r="H73">
        <v>78.59</v>
      </c>
      <c r="I73">
        <v>41.67</v>
      </c>
      <c r="J73">
        <v>20831186176</v>
      </c>
      <c r="K73">
        <v>2555000000</v>
      </c>
      <c r="L73">
        <v>0.76715522999999997</v>
      </c>
      <c r="M73">
        <v>4.79</v>
      </c>
      <c r="N73" t="s">
        <v>242</v>
      </c>
      <c r="O73">
        <v>20.8</v>
      </c>
      <c r="P73">
        <v>2.6</v>
      </c>
    </row>
    <row r="74" spans="1:16" x14ac:dyDescent="0.45">
      <c r="A74" t="s">
        <v>243</v>
      </c>
      <c r="B74" t="s">
        <v>244</v>
      </c>
      <c r="C74" t="s">
        <v>25</v>
      </c>
      <c r="D74">
        <v>311.79000000000002</v>
      </c>
      <c r="E74">
        <v>14.3</v>
      </c>
      <c r="F74">
        <v>0</v>
      </c>
      <c r="G74">
        <v>11.94</v>
      </c>
      <c r="H74">
        <v>370.57</v>
      </c>
      <c r="I74">
        <v>244.28</v>
      </c>
      <c r="J74">
        <v>69157726427</v>
      </c>
      <c r="K74">
        <v>6511400000</v>
      </c>
      <c r="L74">
        <v>5.7374390000000002</v>
      </c>
      <c r="M74">
        <v>5.51</v>
      </c>
      <c r="N74" t="s">
        <v>245</v>
      </c>
      <c r="O74">
        <v>69.2</v>
      </c>
      <c r="P74">
        <v>6.5</v>
      </c>
    </row>
    <row r="75" spans="1:16" x14ac:dyDescent="0.45">
      <c r="A75" t="s">
        <v>246</v>
      </c>
      <c r="B75" t="s">
        <v>247</v>
      </c>
      <c r="C75" t="s">
        <v>59</v>
      </c>
      <c r="D75">
        <v>509.38</v>
      </c>
      <c r="E75">
        <v>22.49</v>
      </c>
      <c r="F75">
        <v>2.1643558000000001</v>
      </c>
      <c r="G75">
        <v>30.3</v>
      </c>
      <c r="H75">
        <v>594.52</v>
      </c>
      <c r="I75">
        <v>368</v>
      </c>
      <c r="J75">
        <v>85907759858</v>
      </c>
      <c r="K75">
        <v>5684000000</v>
      </c>
      <c r="L75">
        <v>6.9158195999999998</v>
      </c>
      <c r="M75">
        <v>2.95</v>
      </c>
      <c r="N75" t="s">
        <v>248</v>
      </c>
      <c r="O75">
        <v>85.9</v>
      </c>
      <c r="P75">
        <v>5.7</v>
      </c>
    </row>
    <row r="76" spans="1:16" x14ac:dyDescent="0.45">
      <c r="A76" t="s">
        <v>249</v>
      </c>
      <c r="B76" t="s">
        <v>250</v>
      </c>
      <c r="C76" t="s">
        <v>59</v>
      </c>
      <c r="D76">
        <v>25.19</v>
      </c>
      <c r="E76">
        <v>12.29</v>
      </c>
      <c r="F76">
        <v>3.7296038</v>
      </c>
      <c r="G76">
        <v>1.92</v>
      </c>
      <c r="H76">
        <v>31.8</v>
      </c>
      <c r="I76">
        <v>19.850000000000001</v>
      </c>
      <c r="J76">
        <v>5381433872</v>
      </c>
      <c r="K76">
        <v>894754000</v>
      </c>
      <c r="L76">
        <v>2.0188456000000001</v>
      </c>
      <c r="M76">
        <v>205.41</v>
      </c>
      <c r="N76" t="s">
        <v>251</v>
      </c>
      <c r="O76">
        <v>5.4</v>
      </c>
      <c r="P76">
        <v>0.9</v>
      </c>
    </row>
    <row r="77" spans="1:16" x14ac:dyDescent="0.45">
      <c r="A77" t="s">
        <v>252</v>
      </c>
      <c r="B77" t="s">
        <v>253</v>
      </c>
      <c r="C77" t="s">
        <v>18</v>
      </c>
      <c r="D77">
        <v>329.66</v>
      </c>
      <c r="E77">
        <v>27.29</v>
      </c>
      <c r="F77">
        <v>1.9648397</v>
      </c>
      <c r="G77">
        <v>13.47</v>
      </c>
      <c r="H77">
        <v>361.45</v>
      </c>
      <c r="I77">
        <v>163.69</v>
      </c>
      <c r="J77">
        <v>205617405233</v>
      </c>
      <c r="K77">
        <v>12476000000</v>
      </c>
      <c r="L77">
        <v>2.1560605000000002</v>
      </c>
      <c r="M77">
        <v>182.86</v>
      </c>
      <c r="N77" t="s">
        <v>254</v>
      </c>
      <c r="O77">
        <v>205.6</v>
      </c>
      <c r="P77">
        <v>12.5</v>
      </c>
    </row>
    <row r="78" spans="1:16" x14ac:dyDescent="0.45">
      <c r="A78" t="s">
        <v>255</v>
      </c>
      <c r="B78" t="s">
        <v>256</v>
      </c>
      <c r="C78" t="s">
        <v>45</v>
      </c>
      <c r="D78">
        <v>51.94</v>
      </c>
      <c r="E78">
        <v>14.15</v>
      </c>
      <c r="F78">
        <v>1.2363636</v>
      </c>
      <c r="G78">
        <v>0.55000000000000004</v>
      </c>
      <c r="H78">
        <v>58.22</v>
      </c>
      <c r="I78">
        <v>37.54</v>
      </c>
      <c r="J78">
        <v>11596117445</v>
      </c>
      <c r="K78">
        <v>867900000</v>
      </c>
      <c r="L78">
        <v>1.5831375999999999</v>
      </c>
      <c r="M78">
        <v>2.89</v>
      </c>
      <c r="N78" t="s">
        <v>257</v>
      </c>
      <c r="O78">
        <v>11.6</v>
      </c>
      <c r="P78">
        <v>0.9</v>
      </c>
    </row>
    <row r="79" spans="1:16" x14ac:dyDescent="0.45">
      <c r="A79" t="s">
        <v>258</v>
      </c>
      <c r="B79" t="s">
        <v>259</v>
      </c>
      <c r="C79" t="s">
        <v>82</v>
      </c>
      <c r="D79">
        <v>112.09</v>
      </c>
      <c r="E79">
        <v>18.05</v>
      </c>
      <c r="F79">
        <v>2.7744062</v>
      </c>
      <c r="G79">
        <v>2.93</v>
      </c>
      <c r="H79">
        <v>140.13</v>
      </c>
      <c r="I79">
        <v>111.87</v>
      </c>
      <c r="J79">
        <v>17799878487</v>
      </c>
      <c r="K79">
        <v>1546846000</v>
      </c>
      <c r="L79">
        <v>6.8394589999999997</v>
      </c>
      <c r="M79">
        <v>3.15</v>
      </c>
      <c r="N79" t="s">
        <v>260</v>
      </c>
      <c r="O79">
        <v>17.8</v>
      </c>
      <c r="P79">
        <v>1.5</v>
      </c>
    </row>
    <row r="80" spans="1:16" x14ac:dyDescent="0.45">
      <c r="A80" t="s">
        <v>261</v>
      </c>
      <c r="B80" t="s">
        <v>262</v>
      </c>
      <c r="C80" t="s">
        <v>25</v>
      </c>
      <c r="D80">
        <v>25.2</v>
      </c>
      <c r="E80">
        <v>20</v>
      </c>
      <c r="F80">
        <v>0</v>
      </c>
      <c r="G80">
        <v>7.0000000000000007E-2</v>
      </c>
      <c r="H80">
        <v>29.93</v>
      </c>
      <c r="I80">
        <v>23.29</v>
      </c>
      <c r="J80">
        <v>36142506007</v>
      </c>
      <c r="K80">
        <v>1726000000</v>
      </c>
      <c r="L80">
        <v>4.0556850000000004</v>
      </c>
      <c r="M80">
        <v>4.78</v>
      </c>
      <c r="N80" t="s">
        <v>263</v>
      </c>
      <c r="O80">
        <v>36.1</v>
      </c>
      <c r="P80">
        <v>1.7</v>
      </c>
    </row>
    <row r="81" spans="1:16" x14ac:dyDescent="0.45">
      <c r="A81" t="s">
        <v>264</v>
      </c>
      <c r="B81" t="s">
        <v>265</v>
      </c>
      <c r="C81" t="s">
        <v>59</v>
      </c>
      <c r="D81">
        <v>55.44</v>
      </c>
      <c r="E81">
        <v>22.63</v>
      </c>
      <c r="F81">
        <v>0</v>
      </c>
      <c r="G81">
        <v>-24.62</v>
      </c>
      <c r="H81">
        <v>75</v>
      </c>
      <c r="I81">
        <v>52.750999999999998</v>
      </c>
      <c r="J81">
        <v>7066613254</v>
      </c>
      <c r="K81">
        <v>0</v>
      </c>
      <c r="L81">
        <v>1.4188358000000001</v>
      </c>
      <c r="M81">
        <v>0.51</v>
      </c>
      <c r="N81" t="s">
        <v>266</v>
      </c>
      <c r="O81">
        <v>7.1</v>
      </c>
      <c r="P81">
        <v>0</v>
      </c>
    </row>
    <row r="82" spans="1:16" x14ac:dyDescent="0.45">
      <c r="A82" t="s">
        <v>267</v>
      </c>
      <c r="B82" t="s">
        <v>268</v>
      </c>
      <c r="C82" t="s">
        <v>25</v>
      </c>
      <c r="D82">
        <v>62.69</v>
      </c>
      <c r="E82">
        <v>20.83</v>
      </c>
      <c r="F82">
        <v>2.5546863000000002</v>
      </c>
      <c r="G82">
        <v>2.65</v>
      </c>
      <c r="H82">
        <v>66.099999999999994</v>
      </c>
      <c r="I82">
        <v>51.12</v>
      </c>
      <c r="J82">
        <v>102506501960</v>
      </c>
      <c r="K82">
        <v>5170000000</v>
      </c>
      <c r="L82">
        <v>6.5032310000000004</v>
      </c>
      <c r="M82">
        <v>6.75</v>
      </c>
      <c r="N82" t="s">
        <v>269</v>
      </c>
      <c r="O82">
        <v>102.5</v>
      </c>
      <c r="P82">
        <v>5.2</v>
      </c>
    </row>
    <row r="83" spans="1:16" x14ac:dyDescent="0.45">
      <c r="A83" t="s">
        <v>270</v>
      </c>
      <c r="B83" t="s">
        <v>271</v>
      </c>
      <c r="C83" t="s">
        <v>32</v>
      </c>
      <c r="D83">
        <v>229.57</v>
      </c>
      <c r="E83">
        <v>15.94</v>
      </c>
      <c r="F83">
        <v>2.9488582999999999</v>
      </c>
      <c r="G83">
        <v>4.01</v>
      </c>
      <c r="H83">
        <v>285.68</v>
      </c>
      <c r="I83">
        <v>202.61</v>
      </c>
      <c r="J83">
        <v>92791974933</v>
      </c>
      <c r="K83">
        <v>7016000000</v>
      </c>
      <c r="L83">
        <v>6.9618929999999999</v>
      </c>
      <c r="M83">
        <v>4.4000000000000004</v>
      </c>
      <c r="N83" t="s">
        <v>272</v>
      </c>
      <c r="O83">
        <v>92.8</v>
      </c>
      <c r="P83">
        <v>7</v>
      </c>
    </row>
    <row r="84" spans="1:16" x14ac:dyDescent="0.45">
      <c r="A84" t="s">
        <v>273</v>
      </c>
      <c r="B84" t="s">
        <v>274</v>
      </c>
      <c r="C84" t="s">
        <v>113</v>
      </c>
      <c r="D84">
        <v>63.33</v>
      </c>
      <c r="E84">
        <v>37.04</v>
      </c>
      <c r="F84">
        <v>1.1216964</v>
      </c>
      <c r="G84">
        <v>1.7</v>
      </c>
      <c r="H84">
        <v>69.902799999999999</v>
      </c>
      <c r="I84">
        <v>45.414999999999999</v>
      </c>
      <c r="J84">
        <v>5498033502</v>
      </c>
      <c r="K84">
        <v>1139000000</v>
      </c>
      <c r="L84">
        <v>1.8411398000000001</v>
      </c>
      <c r="M84">
        <v>12.36</v>
      </c>
      <c r="N84" t="s">
        <v>275</v>
      </c>
      <c r="O84">
        <v>5.5</v>
      </c>
      <c r="P84">
        <v>1.1000000000000001</v>
      </c>
    </row>
    <row r="85" spans="1:16" x14ac:dyDescent="0.45">
      <c r="A85" t="s">
        <v>276</v>
      </c>
      <c r="B85" t="s">
        <v>277</v>
      </c>
      <c r="C85" t="s">
        <v>18</v>
      </c>
      <c r="D85">
        <v>90.47</v>
      </c>
      <c r="E85">
        <v>26</v>
      </c>
      <c r="F85">
        <v>1.9876849999999999</v>
      </c>
      <c r="G85">
        <v>3.57</v>
      </c>
      <c r="H85">
        <v>100.18</v>
      </c>
      <c r="I85">
        <v>63.41</v>
      </c>
      <c r="J85">
        <v>12932483889</v>
      </c>
      <c r="K85">
        <v>868096000</v>
      </c>
      <c r="L85">
        <v>0.85282736999999997</v>
      </c>
      <c r="M85">
        <v>9.31</v>
      </c>
      <c r="N85" t="s">
        <v>278</v>
      </c>
      <c r="O85">
        <v>12.9</v>
      </c>
      <c r="P85">
        <v>0.9</v>
      </c>
    </row>
    <row r="86" spans="1:16" x14ac:dyDescent="0.45">
      <c r="A86" t="s">
        <v>279</v>
      </c>
      <c r="B86" t="s">
        <v>280</v>
      </c>
      <c r="C86" t="s">
        <v>32</v>
      </c>
      <c r="D86">
        <v>32.659999999999997</v>
      </c>
      <c r="E86">
        <v>14.32</v>
      </c>
      <c r="F86">
        <v>3</v>
      </c>
      <c r="G86">
        <v>1.85</v>
      </c>
      <c r="H86">
        <v>36.56</v>
      </c>
      <c r="I86">
        <v>30.45</v>
      </c>
      <c r="J86">
        <v>14175422936</v>
      </c>
      <c r="K86">
        <v>1613000000</v>
      </c>
      <c r="L86">
        <v>3.3742424999999998</v>
      </c>
      <c r="M86">
        <v>2.44</v>
      </c>
      <c r="N86" t="s">
        <v>281</v>
      </c>
      <c r="O86">
        <v>14.2</v>
      </c>
      <c r="P86">
        <v>1.6</v>
      </c>
    </row>
    <row r="87" spans="1:16" x14ac:dyDescent="0.45">
      <c r="A87" t="s">
        <v>282</v>
      </c>
      <c r="B87" t="s">
        <v>283</v>
      </c>
      <c r="C87" t="s">
        <v>156</v>
      </c>
      <c r="D87">
        <v>23.01</v>
      </c>
      <c r="E87">
        <v>60.55</v>
      </c>
      <c r="F87">
        <v>1.0269576</v>
      </c>
      <c r="G87">
        <v>-0.92</v>
      </c>
      <c r="H87">
        <v>29.57</v>
      </c>
      <c r="I87">
        <v>21.4</v>
      </c>
      <c r="J87">
        <v>10808821635</v>
      </c>
      <c r="K87">
        <v>404951000</v>
      </c>
      <c r="L87">
        <v>8.6367290000000008</v>
      </c>
      <c r="M87">
        <v>4.21</v>
      </c>
      <c r="N87" t="s">
        <v>284</v>
      </c>
      <c r="O87">
        <v>10.8</v>
      </c>
      <c r="P87">
        <v>0.4</v>
      </c>
    </row>
    <row r="88" spans="1:16" x14ac:dyDescent="0.45">
      <c r="A88" t="s">
        <v>285</v>
      </c>
      <c r="B88" t="s">
        <v>286</v>
      </c>
      <c r="C88" t="s">
        <v>32</v>
      </c>
      <c r="D88">
        <v>36.82</v>
      </c>
      <c r="E88">
        <v>34.090000000000003</v>
      </c>
      <c r="F88">
        <v>0</v>
      </c>
      <c r="G88">
        <v>0.74</v>
      </c>
      <c r="H88">
        <v>46</v>
      </c>
      <c r="I88">
        <v>29.01</v>
      </c>
      <c r="J88">
        <v>10890625200</v>
      </c>
      <c r="K88">
        <v>455607000</v>
      </c>
      <c r="L88">
        <v>5.7517370000000003</v>
      </c>
      <c r="M88">
        <v>10.98</v>
      </c>
      <c r="N88" t="s">
        <v>287</v>
      </c>
      <c r="O88">
        <v>10.9</v>
      </c>
      <c r="P88">
        <v>0.5</v>
      </c>
    </row>
    <row r="89" spans="1:16" x14ac:dyDescent="0.45">
      <c r="A89" t="s">
        <v>288</v>
      </c>
      <c r="B89" t="s">
        <v>289</v>
      </c>
      <c r="C89" t="s">
        <v>113</v>
      </c>
      <c r="D89">
        <v>44.83</v>
      </c>
      <c r="E89">
        <v>14.84</v>
      </c>
      <c r="F89">
        <v>3.125</v>
      </c>
      <c r="G89">
        <v>2.89</v>
      </c>
      <c r="H89">
        <v>64.23</v>
      </c>
      <c r="I89">
        <v>43.5</v>
      </c>
      <c r="J89">
        <v>13467193376</v>
      </c>
      <c r="K89">
        <v>1683000000</v>
      </c>
      <c r="L89">
        <v>2.3898202999999998</v>
      </c>
      <c r="M89">
        <v>7.91</v>
      </c>
      <c r="N89" t="s">
        <v>290</v>
      </c>
      <c r="O89">
        <v>13.5</v>
      </c>
      <c r="P89">
        <v>1.7</v>
      </c>
    </row>
    <row r="90" spans="1:16" x14ac:dyDescent="0.45">
      <c r="A90" t="s">
        <v>291</v>
      </c>
      <c r="B90" t="s">
        <v>292</v>
      </c>
      <c r="C90" t="s">
        <v>59</v>
      </c>
      <c r="D90">
        <v>91.8</v>
      </c>
      <c r="E90">
        <v>11.85</v>
      </c>
      <c r="F90">
        <v>1.6306563999999999</v>
      </c>
      <c r="G90">
        <v>3.45</v>
      </c>
      <c r="H90">
        <v>106.5</v>
      </c>
      <c r="I90">
        <v>76.05</v>
      </c>
      <c r="J90">
        <v>47637260000</v>
      </c>
      <c r="K90">
        <v>0</v>
      </c>
      <c r="L90">
        <v>1.5931405000000001</v>
      </c>
      <c r="M90">
        <v>0.94</v>
      </c>
      <c r="N90" t="s">
        <v>293</v>
      </c>
      <c r="O90">
        <v>47.6</v>
      </c>
      <c r="P90">
        <v>0</v>
      </c>
    </row>
    <row r="91" spans="1:16" x14ac:dyDescent="0.45">
      <c r="A91" t="s">
        <v>294</v>
      </c>
      <c r="B91" t="s">
        <v>295</v>
      </c>
      <c r="C91" t="s">
        <v>25</v>
      </c>
      <c r="D91">
        <v>66.63</v>
      </c>
      <c r="E91">
        <v>12.29</v>
      </c>
      <c r="F91">
        <v>2.8394227000000001</v>
      </c>
      <c r="G91">
        <v>4.04</v>
      </c>
      <c r="H91">
        <v>84.88</v>
      </c>
      <c r="I91">
        <v>54.66</v>
      </c>
      <c r="J91">
        <v>20493281175</v>
      </c>
      <c r="K91">
        <v>1913000000</v>
      </c>
      <c r="L91">
        <v>0.21131156000000001</v>
      </c>
      <c r="M91">
        <v>3.03</v>
      </c>
      <c r="N91" t="s">
        <v>296</v>
      </c>
      <c r="O91">
        <v>20.5</v>
      </c>
      <c r="P91">
        <v>1.9</v>
      </c>
    </row>
    <row r="92" spans="1:16" x14ac:dyDescent="0.45">
      <c r="A92" t="s">
        <v>297</v>
      </c>
      <c r="B92" t="s">
        <v>298</v>
      </c>
      <c r="C92" t="s">
        <v>45</v>
      </c>
      <c r="D92">
        <v>64.34</v>
      </c>
      <c r="E92">
        <v>19.440000000000001</v>
      </c>
      <c r="F92">
        <v>0</v>
      </c>
      <c r="G92">
        <v>3.97</v>
      </c>
      <c r="H92">
        <v>77.64</v>
      </c>
      <c r="I92">
        <v>54.29</v>
      </c>
      <c r="J92">
        <v>11827453706</v>
      </c>
      <c r="K92">
        <v>1339628000</v>
      </c>
      <c r="L92">
        <v>0.6913859</v>
      </c>
      <c r="M92">
        <v>3.55</v>
      </c>
      <c r="N92" t="s">
        <v>299</v>
      </c>
      <c r="O92">
        <v>11.8</v>
      </c>
      <c r="P92">
        <v>1.3</v>
      </c>
    </row>
    <row r="93" spans="1:16" x14ac:dyDescent="0.45">
      <c r="A93" t="s">
        <v>300</v>
      </c>
      <c r="B93" t="s">
        <v>301</v>
      </c>
      <c r="C93" t="s">
        <v>45</v>
      </c>
      <c r="D93">
        <v>66.760000000000005</v>
      </c>
      <c r="E93">
        <v>17.48</v>
      </c>
      <c r="F93">
        <v>2.6041666999999999</v>
      </c>
      <c r="G93">
        <v>3.58</v>
      </c>
      <c r="H93">
        <v>72.7</v>
      </c>
      <c r="I93">
        <v>54.75</v>
      </c>
      <c r="J93">
        <v>49180044050</v>
      </c>
      <c r="K93">
        <v>4711000000</v>
      </c>
      <c r="L93">
        <v>2.8147783</v>
      </c>
      <c r="M93">
        <v>2</v>
      </c>
      <c r="N93" t="s">
        <v>302</v>
      </c>
      <c r="O93">
        <v>49.2</v>
      </c>
      <c r="P93">
        <v>4.7</v>
      </c>
    </row>
    <row r="94" spans="1:16" x14ac:dyDescent="0.45">
      <c r="A94" t="s">
        <v>303</v>
      </c>
      <c r="B94" t="s">
        <v>304</v>
      </c>
      <c r="C94" t="s">
        <v>18</v>
      </c>
      <c r="D94">
        <v>145.99</v>
      </c>
      <c r="E94">
        <v>21.22</v>
      </c>
      <c r="F94">
        <v>2.0215108000000002</v>
      </c>
      <c r="G94">
        <v>1.26</v>
      </c>
      <c r="H94">
        <v>173.24</v>
      </c>
      <c r="I94">
        <v>90.34</v>
      </c>
      <c r="J94">
        <v>91822049046</v>
      </c>
      <c r="K94">
        <v>8136000000</v>
      </c>
      <c r="L94">
        <v>2.0468427999999999</v>
      </c>
      <c r="M94">
        <v>5.75</v>
      </c>
      <c r="N94" t="s">
        <v>305</v>
      </c>
      <c r="O94">
        <v>91.8</v>
      </c>
      <c r="P94">
        <v>8.1</v>
      </c>
    </row>
    <row r="95" spans="1:16" x14ac:dyDescent="0.45">
      <c r="A95" t="s">
        <v>306</v>
      </c>
      <c r="B95" t="s">
        <v>307</v>
      </c>
      <c r="C95" t="s">
        <v>59</v>
      </c>
      <c r="D95">
        <v>111.15</v>
      </c>
      <c r="E95">
        <v>35.06</v>
      </c>
      <c r="F95">
        <v>0.94269630000000004</v>
      </c>
      <c r="G95">
        <v>2.27</v>
      </c>
      <c r="H95">
        <v>138.54</v>
      </c>
      <c r="I95">
        <v>76.75</v>
      </c>
      <c r="J95">
        <v>12998295607</v>
      </c>
      <c r="K95">
        <v>488406000</v>
      </c>
      <c r="L95">
        <v>8.2490419999999993</v>
      </c>
      <c r="M95">
        <v>5.15</v>
      </c>
      <c r="N95" t="s">
        <v>308</v>
      </c>
      <c r="O95">
        <v>13</v>
      </c>
      <c r="P95">
        <v>0.5</v>
      </c>
    </row>
    <row r="96" spans="1:16" x14ac:dyDescent="0.45">
      <c r="A96" t="s">
        <v>309</v>
      </c>
      <c r="B96" t="s">
        <v>310</v>
      </c>
      <c r="C96" t="s">
        <v>82</v>
      </c>
      <c r="D96">
        <v>41.92</v>
      </c>
      <c r="E96">
        <v>15.82</v>
      </c>
      <c r="F96">
        <v>0</v>
      </c>
      <c r="G96">
        <v>1.69</v>
      </c>
      <c r="H96">
        <v>46.6</v>
      </c>
      <c r="I96">
        <v>30.43</v>
      </c>
      <c r="J96">
        <v>14440591731</v>
      </c>
      <c r="K96">
        <v>1652961000</v>
      </c>
      <c r="L96">
        <v>1.4622321</v>
      </c>
      <c r="M96">
        <v>3.74</v>
      </c>
      <c r="N96" t="s">
        <v>311</v>
      </c>
      <c r="O96">
        <v>14.4</v>
      </c>
      <c r="P96">
        <v>1.7</v>
      </c>
    </row>
    <row r="97" spans="1:16" x14ac:dyDescent="0.45">
      <c r="A97" t="s">
        <v>312</v>
      </c>
      <c r="B97" t="s">
        <v>313</v>
      </c>
      <c r="C97" t="s">
        <v>45</v>
      </c>
      <c r="D97">
        <v>51.8</v>
      </c>
      <c r="E97">
        <v>12.05</v>
      </c>
      <c r="F97">
        <v>1.3473054</v>
      </c>
      <c r="G97">
        <v>2.81</v>
      </c>
      <c r="H97">
        <v>70.094999999999999</v>
      </c>
      <c r="I97">
        <v>52.75</v>
      </c>
      <c r="J97">
        <v>20431395736</v>
      </c>
      <c r="K97">
        <v>2841000000</v>
      </c>
      <c r="L97">
        <v>2.1055017</v>
      </c>
      <c r="M97">
        <v>6.91</v>
      </c>
      <c r="N97" t="s">
        <v>314</v>
      </c>
      <c r="O97">
        <v>20.399999999999999</v>
      </c>
      <c r="P97">
        <v>2.8</v>
      </c>
    </row>
    <row r="98" spans="1:16" x14ac:dyDescent="0.45">
      <c r="A98" t="s">
        <v>315</v>
      </c>
      <c r="B98" t="s">
        <v>316</v>
      </c>
      <c r="C98" t="s">
        <v>25</v>
      </c>
      <c r="D98">
        <v>91.02</v>
      </c>
      <c r="E98">
        <v>13.27</v>
      </c>
      <c r="F98">
        <v>0</v>
      </c>
      <c r="G98">
        <v>3.58</v>
      </c>
      <c r="H98">
        <v>147.16999999999999</v>
      </c>
      <c r="I98">
        <v>92.85</v>
      </c>
      <c r="J98">
        <v>74921079154</v>
      </c>
      <c r="K98">
        <v>5233000000</v>
      </c>
      <c r="L98">
        <v>5.8300710000000002</v>
      </c>
      <c r="M98">
        <v>7.49</v>
      </c>
      <c r="N98" t="s">
        <v>317</v>
      </c>
      <c r="O98">
        <v>74.900000000000006</v>
      </c>
      <c r="P98">
        <v>5.2</v>
      </c>
    </row>
    <row r="99" spans="1:16" x14ac:dyDescent="0.45">
      <c r="A99" t="s">
        <v>318</v>
      </c>
      <c r="B99" t="s">
        <v>319</v>
      </c>
      <c r="C99" t="s">
        <v>25</v>
      </c>
      <c r="D99">
        <v>100.36</v>
      </c>
      <c r="E99">
        <v>19.12</v>
      </c>
      <c r="F99">
        <v>0</v>
      </c>
      <c r="G99">
        <v>3.23</v>
      </c>
      <c r="H99">
        <v>112.42</v>
      </c>
      <c r="I99">
        <v>65.03</v>
      </c>
      <c r="J99">
        <v>18012494506</v>
      </c>
      <c r="K99">
        <v>2063000000</v>
      </c>
      <c r="L99">
        <v>0.50286629999999999</v>
      </c>
      <c r="M99">
        <v>2.58</v>
      </c>
      <c r="N99" t="s">
        <v>320</v>
      </c>
      <c r="O99">
        <v>18</v>
      </c>
      <c r="P99">
        <v>2.1</v>
      </c>
    </row>
    <row r="100" spans="1:16" x14ac:dyDescent="0.45">
      <c r="A100" t="s">
        <v>321</v>
      </c>
      <c r="B100" t="s">
        <v>322</v>
      </c>
      <c r="C100" t="s">
        <v>52</v>
      </c>
      <c r="D100">
        <v>25.85</v>
      </c>
      <c r="E100">
        <v>19.73</v>
      </c>
      <c r="F100">
        <v>4.2109256000000004</v>
      </c>
      <c r="G100">
        <v>1</v>
      </c>
      <c r="H100">
        <v>30.45</v>
      </c>
      <c r="I100">
        <v>25.51</v>
      </c>
      <c r="J100">
        <v>11362043297</v>
      </c>
      <c r="K100">
        <v>2337000000</v>
      </c>
      <c r="L100">
        <v>1.6262616999999999</v>
      </c>
      <c r="M100">
        <v>3.21</v>
      </c>
      <c r="N100" t="s">
        <v>323</v>
      </c>
      <c r="O100">
        <v>11.4</v>
      </c>
      <c r="P100">
        <v>2.2999999999999998</v>
      </c>
    </row>
    <row r="101" spans="1:16" x14ac:dyDescent="0.45">
      <c r="A101" t="s">
        <v>324</v>
      </c>
      <c r="B101" t="s">
        <v>325</v>
      </c>
      <c r="C101" t="s">
        <v>202</v>
      </c>
      <c r="D101">
        <v>16.2</v>
      </c>
      <c r="E101">
        <v>8.35</v>
      </c>
      <c r="F101">
        <v>12.661196</v>
      </c>
      <c r="G101">
        <v>1.1599999999999999</v>
      </c>
      <c r="H101">
        <v>27.61</v>
      </c>
      <c r="I101">
        <v>13.161</v>
      </c>
      <c r="J101">
        <v>18237196861</v>
      </c>
      <c r="K101">
        <v>5577000000</v>
      </c>
      <c r="L101">
        <v>1.4795984</v>
      </c>
      <c r="M101">
        <v>1.39</v>
      </c>
      <c r="N101" t="s">
        <v>326</v>
      </c>
      <c r="O101">
        <v>18.2</v>
      </c>
      <c r="P101">
        <v>5.6</v>
      </c>
    </row>
    <row r="102" spans="1:16" x14ac:dyDescent="0.45">
      <c r="A102" t="s">
        <v>327</v>
      </c>
      <c r="B102" t="s">
        <v>328</v>
      </c>
      <c r="C102" t="s">
        <v>25</v>
      </c>
      <c r="D102">
        <v>61.22</v>
      </c>
      <c r="E102">
        <v>27.09</v>
      </c>
      <c r="F102">
        <v>0</v>
      </c>
      <c r="G102">
        <v>1.84</v>
      </c>
      <c r="H102">
        <v>73.86</v>
      </c>
      <c r="I102">
        <v>51.261699999999998</v>
      </c>
      <c r="J102">
        <v>21101697598</v>
      </c>
      <c r="K102">
        <v>1523440000</v>
      </c>
      <c r="L102">
        <v>5.5560412000000001</v>
      </c>
      <c r="M102">
        <v>4.62</v>
      </c>
      <c r="N102" t="s">
        <v>329</v>
      </c>
      <c r="O102">
        <v>21.1</v>
      </c>
      <c r="P102">
        <v>1.5</v>
      </c>
    </row>
    <row r="103" spans="1:16" x14ac:dyDescent="0.45">
      <c r="A103" t="s">
        <v>330</v>
      </c>
      <c r="B103" t="s">
        <v>331</v>
      </c>
      <c r="C103" t="s">
        <v>69</v>
      </c>
      <c r="D103">
        <v>37.46</v>
      </c>
      <c r="E103">
        <v>-59.46</v>
      </c>
      <c r="F103">
        <v>3.0395135999999998</v>
      </c>
      <c r="G103">
        <v>-1.2</v>
      </c>
      <c r="H103">
        <v>43.98</v>
      </c>
      <c r="I103">
        <v>25.04</v>
      </c>
      <c r="J103">
        <v>9209106695</v>
      </c>
      <c r="K103">
        <v>711000000</v>
      </c>
      <c r="L103">
        <v>3.0044447999999999</v>
      </c>
      <c r="M103">
        <v>2.81</v>
      </c>
      <c r="N103" t="s">
        <v>332</v>
      </c>
      <c r="O103">
        <v>9.1999999999999993</v>
      </c>
      <c r="P103">
        <v>0.7</v>
      </c>
    </row>
    <row r="104" spans="1:16" x14ac:dyDescent="0.45">
      <c r="A104" t="s">
        <v>333</v>
      </c>
      <c r="B104" t="s">
        <v>334</v>
      </c>
      <c r="C104" t="s">
        <v>59</v>
      </c>
      <c r="D104">
        <v>48.9</v>
      </c>
      <c r="E104">
        <v>29.82</v>
      </c>
      <c r="F104">
        <v>0.76878725999999997</v>
      </c>
      <c r="G104">
        <v>1.61</v>
      </c>
      <c r="H104">
        <v>56.25</v>
      </c>
      <c r="I104">
        <v>37.159999999999997</v>
      </c>
      <c r="J104">
        <v>69750188843</v>
      </c>
      <c r="K104">
        <v>0</v>
      </c>
      <c r="L104">
        <v>7.9496149999999997</v>
      </c>
      <c r="M104">
        <v>4.51</v>
      </c>
      <c r="N104" t="s">
        <v>335</v>
      </c>
      <c r="O104">
        <v>69.8</v>
      </c>
      <c r="P104">
        <v>0</v>
      </c>
    </row>
    <row r="105" spans="1:16" x14ac:dyDescent="0.45">
      <c r="A105" t="s">
        <v>336</v>
      </c>
      <c r="B105" t="s">
        <v>337</v>
      </c>
      <c r="C105" t="s">
        <v>45</v>
      </c>
      <c r="D105">
        <v>348.65</v>
      </c>
      <c r="E105">
        <v>162.91999999999999</v>
      </c>
      <c r="F105">
        <v>0</v>
      </c>
      <c r="G105">
        <v>34.08</v>
      </c>
      <c r="H105">
        <v>408.83</v>
      </c>
      <c r="I105">
        <v>308.3</v>
      </c>
      <c r="J105">
        <v>86708878113</v>
      </c>
      <c r="K105">
        <v>14694000000</v>
      </c>
      <c r="L105">
        <v>2.1208634000000002</v>
      </c>
      <c r="M105">
        <v>2.27</v>
      </c>
      <c r="N105" t="s">
        <v>338</v>
      </c>
      <c r="O105">
        <v>86.7</v>
      </c>
      <c r="P105">
        <v>14.7</v>
      </c>
    </row>
    <row r="106" spans="1:16" x14ac:dyDescent="0.45">
      <c r="A106" t="s">
        <v>339</v>
      </c>
      <c r="B106" t="s">
        <v>340</v>
      </c>
      <c r="C106" t="s">
        <v>156</v>
      </c>
      <c r="D106">
        <v>2.82</v>
      </c>
      <c r="E106">
        <v>4.7</v>
      </c>
      <c r="F106">
        <v>0</v>
      </c>
      <c r="G106">
        <v>-6.44</v>
      </c>
      <c r="H106">
        <v>6.59</v>
      </c>
      <c r="I106">
        <v>2.8</v>
      </c>
      <c r="J106">
        <v>2626102121</v>
      </c>
      <c r="K106">
        <v>1470000000</v>
      </c>
      <c r="L106">
        <v>0.40765183999999999</v>
      </c>
      <c r="M106">
        <v>1.84</v>
      </c>
      <c r="N106" t="s">
        <v>341</v>
      </c>
      <c r="O106">
        <v>2.6</v>
      </c>
      <c r="P106">
        <v>1.5</v>
      </c>
    </row>
    <row r="107" spans="1:16" x14ac:dyDescent="0.45">
      <c r="A107" t="s">
        <v>342</v>
      </c>
      <c r="B107" t="s">
        <v>343</v>
      </c>
      <c r="C107" t="s">
        <v>156</v>
      </c>
      <c r="D107">
        <v>112.3</v>
      </c>
      <c r="E107">
        <v>27.52</v>
      </c>
      <c r="F107">
        <v>3.885853</v>
      </c>
      <c r="G107">
        <v>4.8499999999999996</v>
      </c>
      <c r="H107">
        <v>133.88</v>
      </c>
      <c r="I107">
        <v>102.55</v>
      </c>
      <c r="J107">
        <v>218978820159</v>
      </c>
      <c r="K107">
        <v>28877000000</v>
      </c>
      <c r="L107">
        <v>1.6489863</v>
      </c>
      <c r="M107">
        <v>1.71</v>
      </c>
      <c r="N107" t="s">
        <v>344</v>
      </c>
      <c r="O107">
        <v>219</v>
      </c>
      <c r="P107">
        <v>28.9</v>
      </c>
    </row>
    <row r="108" spans="1:16" x14ac:dyDescent="0.45">
      <c r="A108" t="s">
        <v>345</v>
      </c>
      <c r="B108" t="s">
        <v>346</v>
      </c>
      <c r="C108" t="s">
        <v>45</v>
      </c>
      <c r="D108">
        <v>266.01</v>
      </c>
      <c r="E108">
        <v>45.86</v>
      </c>
      <c r="F108">
        <v>0</v>
      </c>
      <c r="G108">
        <v>0.8</v>
      </c>
      <c r="H108">
        <v>499</v>
      </c>
      <c r="I108">
        <v>263</v>
      </c>
      <c r="J108">
        <v>7685283970</v>
      </c>
      <c r="K108">
        <v>401293000</v>
      </c>
      <c r="L108">
        <v>2.5523853000000001</v>
      </c>
      <c r="M108">
        <v>6.11</v>
      </c>
      <c r="N108" t="s">
        <v>347</v>
      </c>
      <c r="O108">
        <v>7.7</v>
      </c>
      <c r="P108">
        <v>0.4</v>
      </c>
    </row>
    <row r="109" spans="1:16" x14ac:dyDescent="0.45">
      <c r="A109" t="s">
        <v>348</v>
      </c>
      <c r="B109" t="s">
        <v>349</v>
      </c>
      <c r="C109" t="s">
        <v>59</v>
      </c>
      <c r="D109">
        <v>140.38999999999999</v>
      </c>
      <c r="E109">
        <v>17.5</v>
      </c>
      <c r="F109">
        <v>1.9251627</v>
      </c>
      <c r="G109">
        <v>8.1999999999999993</v>
      </c>
      <c r="H109">
        <v>157.5</v>
      </c>
      <c r="I109">
        <v>130.16999999999999</v>
      </c>
      <c r="J109">
        <v>68424670566</v>
      </c>
      <c r="K109">
        <v>0</v>
      </c>
      <c r="L109">
        <v>2.0985637000000001</v>
      </c>
      <c r="M109">
        <v>1.35</v>
      </c>
      <c r="N109" t="s">
        <v>350</v>
      </c>
      <c r="O109">
        <v>68.400000000000006</v>
      </c>
      <c r="P109">
        <v>0</v>
      </c>
    </row>
    <row r="110" spans="1:16" x14ac:dyDescent="0.45">
      <c r="A110" t="s">
        <v>351</v>
      </c>
      <c r="B110" t="s">
        <v>352</v>
      </c>
      <c r="C110" t="s">
        <v>113</v>
      </c>
      <c r="D110">
        <v>47.38</v>
      </c>
      <c r="E110">
        <v>24.42</v>
      </c>
      <c r="F110">
        <v>1.8366054000000001</v>
      </c>
      <c r="G110">
        <v>2.92</v>
      </c>
      <c r="H110">
        <v>54.179900000000004</v>
      </c>
      <c r="I110">
        <v>43.21</v>
      </c>
      <c r="J110">
        <v>11838963451</v>
      </c>
      <c r="K110">
        <v>868000000</v>
      </c>
      <c r="L110">
        <v>3.1682448000000001</v>
      </c>
      <c r="M110">
        <v>6.28</v>
      </c>
      <c r="N110" t="s">
        <v>353</v>
      </c>
      <c r="O110">
        <v>11.8</v>
      </c>
      <c r="P110">
        <v>0.9</v>
      </c>
    </row>
    <row r="111" spans="1:16" x14ac:dyDescent="0.45">
      <c r="A111" t="s">
        <v>354</v>
      </c>
      <c r="B111" t="s">
        <v>355</v>
      </c>
      <c r="C111" t="s">
        <v>25</v>
      </c>
      <c r="D111">
        <v>189.27</v>
      </c>
      <c r="E111">
        <v>18.11</v>
      </c>
      <c r="F111">
        <v>2.0466638999999998E-2</v>
      </c>
      <c r="G111">
        <v>7.2</v>
      </c>
      <c r="H111">
        <v>227.13</v>
      </c>
      <c r="I111">
        <v>141.93</v>
      </c>
      <c r="J111">
        <v>47680910480</v>
      </c>
      <c r="K111">
        <v>0</v>
      </c>
      <c r="L111">
        <v>1.550762</v>
      </c>
      <c r="M111">
        <v>3.39</v>
      </c>
      <c r="N111" t="s">
        <v>356</v>
      </c>
      <c r="O111">
        <v>47.7</v>
      </c>
      <c r="P111">
        <v>0</v>
      </c>
    </row>
    <row r="112" spans="1:16" x14ac:dyDescent="0.45">
      <c r="A112" t="s">
        <v>357</v>
      </c>
      <c r="B112" t="s">
        <v>358</v>
      </c>
      <c r="C112" t="s">
        <v>156</v>
      </c>
      <c r="D112">
        <v>100.19</v>
      </c>
      <c r="E112">
        <v>26.37</v>
      </c>
      <c r="F112">
        <v>0.30214333999999998</v>
      </c>
      <c r="G112">
        <v>-4.6399999999999997</v>
      </c>
      <c r="H112">
        <v>136.31</v>
      </c>
      <c r="I112">
        <v>89.49</v>
      </c>
      <c r="J112">
        <v>10089082025</v>
      </c>
      <c r="K112">
        <v>1061056000</v>
      </c>
      <c r="L112">
        <v>7.5564460000000002</v>
      </c>
      <c r="M112">
        <v>4.28</v>
      </c>
      <c r="N112" t="s">
        <v>359</v>
      </c>
      <c r="O112">
        <v>10.1</v>
      </c>
      <c r="P112">
        <v>1.1000000000000001</v>
      </c>
    </row>
    <row r="113" spans="1:16" x14ac:dyDescent="0.45">
      <c r="A113" t="s">
        <v>360</v>
      </c>
      <c r="B113" t="s">
        <v>361</v>
      </c>
      <c r="C113" t="s">
        <v>59</v>
      </c>
      <c r="D113">
        <v>70.34</v>
      </c>
      <c r="E113">
        <v>27.48</v>
      </c>
      <c r="F113">
        <v>2.9189039999999999</v>
      </c>
      <c r="G113">
        <v>3.55</v>
      </c>
      <c r="H113">
        <v>81.98</v>
      </c>
      <c r="I113">
        <v>68.239999999999995</v>
      </c>
      <c r="J113">
        <v>11916533018</v>
      </c>
      <c r="K113">
        <v>0</v>
      </c>
      <c r="L113">
        <v>2.7566790000000001</v>
      </c>
      <c r="M113">
        <v>1.6</v>
      </c>
      <c r="N113" t="s">
        <v>362</v>
      </c>
      <c r="O113">
        <v>11.9</v>
      </c>
      <c r="P113">
        <v>0</v>
      </c>
    </row>
    <row r="114" spans="1:16" x14ac:dyDescent="0.45">
      <c r="A114" t="s">
        <v>363</v>
      </c>
      <c r="B114" t="s">
        <v>364</v>
      </c>
      <c r="C114" t="s">
        <v>18</v>
      </c>
      <c r="D114">
        <v>149.32</v>
      </c>
      <c r="E114">
        <v>32.75</v>
      </c>
      <c r="F114">
        <v>1.0344827000000001</v>
      </c>
      <c r="G114">
        <v>4.38</v>
      </c>
      <c r="H114">
        <v>169.96</v>
      </c>
      <c r="I114">
        <v>113.79</v>
      </c>
      <c r="J114">
        <v>16676145923</v>
      </c>
      <c r="K114">
        <v>1097295000</v>
      </c>
      <c r="L114">
        <v>2.7614057000000001</v>
      </c>
      <c r="M114">
        <v>6.53</v>
      </c>
      <c r="N114" t="s">
        <v>365</v>
      </c>
      <c r="O114">
        <v>16.7</v>
      </c>
      <c r="P114">
        <v>1.1000000000000001</v>
      </c>
    </row>
    <row r="115" spans="1:16" x14ac:dyDescent="0.45">
      <c r="A115" t="s">
        <v>366</v>
      </c>
      <c r="B115" t="s">
        <v>367</v>
      </c>
      <c r="C115" t="s">
        <v>32</v>
      </c>
      <c r="D115">
        <v>38.770000000000003</v>
      </c>
      <c r="E115">
        <v>17.87</v>
      </c>
      <c r="F115">
        <v>2.8755576999999999</v>
      </c>
      <c r="G115">
        <v>1.91</v>
      </c>
      <c r="H115">
        <v>42.98</v>
      </c>
      <c r="I115">
        <v>30.36</v>
      </c>
      <c r="J115">
        <v>199425716482</v>
      </c>
      <c r="K115">
        <v>15447000000</v>
      </c>
      <c r="L115">
        <v>5.4844179999999998</v>
      </c>
      <c r="M115">
        <v>3.07</v>
      </c>
      <c r="N115" t="s">
        <v>368</v>
      </c>
      <c r="O115">
        <v>199.4</v>
      </c>
      <c r="P115">
        <v>15.4</v>
      </c>
    </row>
    <row r="116" spans="1:16" x14ac:dyDescent="0.45">
      <c r="A116" t="s">
        <v>369</v>
      </c>
      <c r="B116" t="s">
        <v>370</v>
      </c>
      <c r="C116" t="s">
        <v>59</v>
      </c>
      <c r="D116">
        <v>71.87</v>
      </c>
      <c r="E116">
        <v>13.48</v>
      </c>
      <c r="F116">
        <v>1.7068943000000001</v>
      </c>
      <c r="G116">
        <v>-3.1</v>
      </c>
      <c r="H116">
        <v>80.7</v>
      </c>
      <c r="I116">
        <v>56.14</v>
      </c>
      <c r="J116">
        <v>192709302000</v>
      </c>
      <c r="K116">
        <v>0</v>
      </c>
      <c r="L116">
        <v>2.1857586000000002</v>
      </c>
      <c r="M116">
        <v>0.9</v>
      </c>
      <c r="N116" t="s">
        <v>371</v>
      </c>
      <c r="O116">
        <v>192.7</v>
      </c>
      <c r="P116">
        <v>0</v>
      </c>
    </row>
    <row r="117" spans="1:16" x14ac:dyDescent="0.45">
      <c r="A117" t="s">
        <v>372</v>
      </c>
      <c r="B117" t="s">
        <v>373</v>
      </c>
      <c r="C117" t="s">
        <v>59</v>
      </c>
      <c r="D117">
        <v>42.19</v>
      </c>
      <c r="E117">
        <v>16.04</v>
      </c>
      <c r="F117">
        <v>1.9625334999999999</v>
      </c>
      <c r="G117">
        <v>3.27</v>
      </c>
      <c r="H117">
        <v>48.23</v>
      </c>
      <c r="I117">
        <v>31.51</v>
      </c>
      <c r="J117">
        <v>22008050974</v>
      </c>
      <c r="K117">
        <v>0</v>
      </c>
      <c r="L117">
        <v>3.3917345999999999</v>
      </c>
      <c r="M117">
        <v>1.08</v>
      </c>
      <c r="N117" t="s">
        <v>374</v>
      </c>
      <c r="O117">
        <v>22</v>
      </c>
      <c r="P117">
        <v>0</v>
      </c>
    </row>
    <row r="118" spans="1:16" x14ac:dyDescent="0.45">
      <c r="A118" t="s">
        <v>375</v>
      </c>
      <c r="B118" t="s">
        <v>376</v>
      </c>
      <c r="C118" t="s">
        <v>32</v>
      </c>
      <c r="D118">
        <v>84.53</v>
      </c>
      <c r="E118">
        <v>20.37</v>
      </c>
      <c r="F118">
        <v>0</v>
      </c>
      <c r="G118">
        <v>-0.24</v>
      </c>
      <c r="H118">
        <v>95</v>
      </c>
      <c r="I118">
        <v>73.334599999999995</v>
      </c>
      <c r="J118">
        <v>13199167493</v>
      </c>
      <c r="K118">
        <v>810268000</v>
      </c>
      <c r="L118">
        <v>4.7538714000000004</v>
      </c>
      <c r="M118">
        <v>6.73</v>
      </c>
      <c r="N118" t="s">
        <v>377</v>
      </c>
      <c r="O118">
        <v>13.2</v>
      </c>
      <c r="P118">
        <v>0.8</v>
      </c>
    </row>
    <row r="119" spans="1:16" x14ac:dyDescent="0.45">
      <c r="A119" t="s">
        <v>378</v>
      </c>
      <c r="B119" t="s">
        <v>379</v>
      </c>
      <c r="C119" t="s">
        <v>59</v>
      </c>
      <c r="D119">
        <v>153.04</v>
      </c>
      <c r="E119">
        <v>32.15</v>
      </c>
      <c r="F119">
        <v>3.6828612999999999</v>
      </c>
      <c r="G119">
        <v>11.94</v>
      </c>
      <c r="H119">
        <v>163</v>
      </c>
      <c r="I119">
        <v>114.8176</v>
      </c>
      <c r="J119">
        <v>54423298745</v>
      </c>
      <c r="K119">
        <v>2851800000</v>
      </c>
      <c r="L119">
        <v>14.881805999999999</v>
      </c>
      <c r="M119">
        <v>2.5099999999999998</v>
      </c>
      <c r="N119" t="s">
        <v>380</v>
      </c>
      <c r="O119">
        <v>54.4</v>
      </c>
      <c r="P119">
        <v>2.9</v>
      </c>
    </row>
    <row r="120" spans="1:16" x14ac:dyDescent="0.45">
      <c r="A120" t="s">
        <v>381</v>
      </c>
      <c r="B120" t="s">
        <v>382</v>
      </c>
      <c r="C120" t="s">
        <v>52</v>
      </c>
      <c r="D120">
        <v>41.77</v>
      </c>
      <c r="E120">
        <v>21.42</v>
      </c>
      <c r="F120">
        <v>3.3918406999999999</v>
      </c>
      <c r="G120">
        <v>1.99</v>
      </c>
      <c r="H120">
        <v>50.85</v>
      </c>
      <c r="I120">
        <v>41.07</v>
      </c>
      <c r="J120">
        <v>11873960824</v>
      </c>
      <c r="K120">
        <v>2099000000</v>
      </c>
      <c r="L120">
        <v>2.4711675999999998</v>
      </c>
      <c r="M120">
        <v>2.65</v>
      </c>
      <c r="N120" t="s">
        <v>383</v>
      </c>
      <c r="O120">
        <v>11.9</v>
      </c>
      <c r="P120">
        <v>2.1</v>
      </c>
    </row>
    <row r="121" spans="1:16" x14ac:dyDescent="0.45">
      <c r="A121" t="s">
        <v>384</v>
      </c>
      <c r="B121" t="s">
        <v>385</v>
      </c>
      <c r="C121" t="s">
        <v>113</v>
      </c>
      <c r="D121">
        <v>43.1</v>
      </c>
      <c r="E121">
        <v>22.8</v>
      </c>
      <c r="F121">
        <v>3.3213644000000002</v>
      </c>
      <c r="G121">
        <v>1.49</v>
      </c>
      <c r="H121">
        <v>48.615000000000002</v>
      </c>
      <c r="I121">
        <v>40.22</v>
      </c>
      <c r="J121">
        <v>189855335601</v>
      </c>
      <c r="K121">
        <v>8589000000</v>
      </c>
      <c r="L121">
        <v>6.8221379999999998</v>
      </c>
      <c r="M121">
        <v>8.65</v>
      </c>
      <c r="N121" t="s">
        <v>386</v>
      </c>
      <c r="O121">
        <v>189.9</v>
      </c>
      <c r="P121">
        <v>8.6</v>
      </c>
    </row>
    <row r="122" spans="1:16" x14ac:dyDescent="0.45">
      <c r="A122" t="s">
        <v>387</v>
      </c>
      <c r="B122" t="s">
        <v>388</v>
      </c>
      <c r="C122" t="s">
        <v>32</v>
      </c>
      <c r="D122">
        <v>75.16</v>
      </c>
      <c r="E122">
        <v>22.44</v>
      </c>
      <c r="F122">
        <v>1.0454783000000001</v>
      </c>
      <c r="G122">
        <v>2.54</v>
      </c>
      <c r="H122">
        <v>79.28</v>
      </c>
      <c r="I122">
        <v>54.76</v>
      </c>
      <c r="J122">
        <v>45119684067</v>
      </c>
      <c r="K122">
        <v>2946000000</v>
      </c>
      <c r="L122">
        <v>3.9678396999999999</v>
      </c>
      <c r="M122">
        <v>3.94</v>
      </c>
      <c r="N122" t="s">
        <v>389</v>
      </c>
      <c r="O122">
        <v>45.1</v>
      </c>
      <c r="P122">
        <v>2.9</v>
      </c>
    </row>
    <row r="123" spans="1:16" x14ac:dyDescent="0.45">
      <c r="A123" t="s">
        <v>390</v>
      </c>
      <c r="B123" t="s">
        <v>391</v>
      </c>
      <c r="C123" t="s">
        <v>113</v>
      </c>
      <c r="D123">
        <v>68.95</v>
      </c>
      <c r="E123">
        <v>24.02</v>
      </c>
      <c r="F123">
        <v>2.2801765999999999</v>
      </c>
      <c r="G123">
        <v>2.2799999999999998</v>
      </c>
      <c r="H123">
        <v>77.91</v>
      </c>
      <c r="I123">
        <v>66.260000000000005</v>
      </c>
      <c r="J123">
        <v>61616643498</v>
      </c>
      <c r="K123">
        <v>4064000000</v>
      </c>
      <c r="L123">
        <v>4.000737</v>
      </c>
      <c r="M123">
        <v>236.42</v>
      </c>
      <c r="N123" t="s">
        <v>392</v>
      </c>
      <c r="O123">
        <v>61.6</v>
      </c>
      <c r="P123">
        <v>4.0999999999999996</v>
      </c>
    </row>
    <row r="124" spans="1:16" x14ac:dyDescent="0.45">
      <c r="A124" t="s">
        <v>393</v>
      </c>
      <c r="B124" t="s">
        <v>394</v>
      </c>
      <c r="C124" t="s">
        <v>45</v>
      </c>
      <c r="D124">
        <v>38.19</v>
      </c>
      <c r="E124">
        <v>18.54</v>
      </c>
      <c r="F124">
        <v>1.8929016999999999</v>
      </c>
      <c r="G124">
        <v>4.74</v>
      </c>
      <c r="H124">
        <v>44</v>
      </c>
      <c r="I124">
        <v>34.78</v>
      </c>
      <c r="J124">
        <v>186476996883</v>
      </c>
      <c r="K124">
        <v>28675000000</v>
      </c>
      <c r="L124">
        <v>2.1797748000000001</v>
      </c>
      <c r="M124">
        <v>2.65</v>
      </c>
      <c r="N124" t="s">
        <v>395</v>
      </c>
      <c r="O124">
        <v>186.5</v>
      </c>
      <c r="P124">
        <v>28.7</v>
      </c>
    </row>
    <row r="125" spans="1:16" x14ac:dyDescent="0.45">
      <c r="A125" t="s">
        <v>396</v>
      </c>
      <c r="B125" t="s">
        <v>397</v>
      </c>
      <c r="C125" t="s">
        <v>59</v>
      </c>
      <c r="D125">
        <v>89.18</v>
      </c>
      <c r="E125">
        <v>18.89</v>
      </c>
      <c r="F125">
        <v>1.2823252999999999</v>
      </c>
      <c r="G125">
        <v>4.13</v>
      </c>
      <c r="H125">
        <v>98.18</v>
      </c>
      <c r="I125">
        <v>64.040000000000006</v>
      </c>
      <c r="J125">
        <v>16274969256</v>
      </c>
      <c r="K125">
        <v>0</v>
      </c>
      <c r="L125">
        <v>4.9054719999999996</v>
      </c>
      <c r="M125">
        <v>1.96</v>
      </c>
      <c r="N125" t="s">
        <v>398</v>
      </c>
      <c r="O125">
        <v>16.3</v>
      </c>
      <c r="P125">
        <v>0</v>
      </c>
    </row>
    <row r="126" spans="1:16" x14ac:dyDescent="0.45">
      <c r="A126" t="s">
        <v>399</v>
      </c>
      <c r="B126" t="s">
        <v>400</v>
      </c>
      <c r="C126" t="s">
        <v>113</v>
      </c>
      <c r="D126">
        <v>35.49</v>
      </c>
      <c r="E126">
        <v>18.2</v>
      </c>
      <c r="F126">
        <v>2.3683475999999999</v>
      </c>
      <c r="G126">
        <v>1.46</v>
      </c>
      <c r="H126">
        <v>41.68</v>
      </c>
      <c r="I126">
        <v>32.159999999999997</v>
      </c>
      <c r="J126">
        <v>14379717835</v>
      </c>
      <c r="K126">
        <v>1281200000</v>
      </c>
      <c r="L126">
        <v>1.8294994</v>
      </c>
      <c r="M126">
        <v>3.86</v>
      </c>
      <c r="N126" t="s">
        <v>401</v>
      </c>
      <c r="O126">
        <v>14.4</v>
      </c>
      <c r="P126">
        <v>1.3</v>
      </c>
    </row>
    <row r="127" spans="1:16" x14ac:dyDescent="0.45">
      <c r="A127" t="s">
        <v>402</v>
      </c>
      <c r="B127" t="s">
        <v>403</v>
      </c>
      <c r="C127" t="s">
        <v>156</v>
      </c>
      <c r="D127">
        <v>140.09</v>
      </c>
      <c r="E127">
        <v>84.39</v>
      </c>
      <c r="F127">
        <v>0</v>
      </c>
      <c r="G127">
        <v>-11.04</v>
      </c>
      <c r="H127">
        <v>162.91</v>
      </c>
      <c r="I127">
        <v>106.73</v>
      </c>
      <c r="J127">
        <v>22021882339</v>
      </c>
      <c r="K127">
        <v>2151190000</v>
      </c>
      <c r="L127">
        <v>12.271951</v>
      </c>
      <c r="M127">
        <v>2.61</v>
      </c>
      <c r="N127" t="s">
        <v>404</v>
      </c>
      <c r="O127">
        <v>22</v>
      </c>
      <c r="P127">
        <v>2.2000000000000002</v>
      </c>
    </row>
    <row r="128" spans="1:16" x14ac:dyDescent="0.45">
      <c r="A128" t="s">
        <v>405</v>
      </c>
      <c r="B128" t="s">
        <v>406</v>
      </c>
      <c r="C128" t="s">
        <v>156</v>
      </c>
      <c r="D128">
        <v>53.24</v>
      </c>
      <c r="E128">
        <v>72.930000000000007</v>
      </c>
      <c r="F128">
        <v>2.0492539999999999</v>
      </c>
      <c r="G128">
        <v>-0.65</v>
      </c>
      <c r="H128">
        <v>61.314999999999998</v>
      </c>
      <c r="I128">
        <v>42.265000000000001</v>
      </c>
      <c r="J128">
        <v>65482462410</v>
      </c>
      <c r="K128">
        <v>5328000000</v>
      </c>
      <c r="L128">
        <v>2.0764176999999999</v>
      </c>
      <c r="M128">
        <v>2.16</v>
      </c>
      <c r="N128" t="s">
        <v>407</v>
      </c>
      <c r="O128">
        <v>65.5</v>
      </c>
      <c r="P128">
        <v>5.3</v>
      </c>
    </row>
    <row r="129" spans="1:16" x14ac:dyDescent="0.45">
      <c r="A129" t="s">
        <v>408</v>
      </c>
      <c r="B129" t="s">
        <v>409</v>
      </c>
      <c r="C129" t="s">
        <v>52</v>
      </c>
      <c r="D129">
        <v>74.73</v>
      </c>
      <c r="E129">
        <v>18.64</v>
      </c>
      <c r="F129">
        <v>3.8001594999999999</v>
      </c>
      <c r="G129">
        <v>4.0999999999999996</v>
      </c>
      <c r="H129">
        <v>89.7</v>
      </c>
      <c r="I129">
        <v>72.63</v>
      </c>
      <c r="J129">
        <v>23335777662</v>
      </c>
      <c r="K129">
        <v>4288000000</v>
      </c>
      <c r="L129">
        <v>2.9602439999999999</v>
      </c>
      <c r="M129">
        <v>1.58</v>
      </c>
      <c r="N129" t="s">
        <v>410</v>
      </c>
      <c r="O129">
        <v>23.3</v>
      </c>
      <c r="P129">
        <v>4.3</v>
      </c>
    </row>
    <row r="130" spans="1:16" x14ac:dyDescent="0.45">
      <c r="A130" t="s">
        <v>411</v>
      </c>
      <c r="B130" t="s">
        <v>412</v>
      </c>
      <c r="C130" t="s">
        <v>113</v>
      </c>
      <c r="D130">
        <v>208.73</v>
      </c>
      <c r="E130">
        <v>30.92</v>
      </c>
      <c r="F130">
        <v>0.97128179999999997</v>
      </c>
      <c r="G130">
        <v>8.7100000000000009</v>
      </c>
      <c r="H130">
        <v>229.5</v>
      </c>
      <c r="I130">
        <v>152.01</v>
      </c>
      <c r="J130">
        <v>41697453163</v>
      </c>
      <c r="K130">
        <v>3033300000</v>
      </c>
      <c r="L130">
        <v>5.1455960000000003</v>
      </c>
      <c r="M130">
        <v>5.14</v>
      </c>
      <c r="N130" t="s">
        <v>413</v>
      </c>
      <c r="O130">
        <v>41.7</v>
      </c>
      <c r="P130">
        <v>3</v>
      </c>
    </row>
    <row r="131" spans="1:16" x14ac:dyDescent="0.45">
      <c r="A131" t="s">
        <v>414</v>
      </c>
      <c r="B131" t="s">
        <v>415</v>
      </c>
      <c r="C131" t="s">
        <v>32</v>
      </c>
      <c r="D131">
        <v>28.45</v>
      </c>
      <c r="E131">
        <v>16.45</v>
      </c>
      <c r="F131">
        <v>2.0791415999999998</v>
      </c>
      <c r="G131">
        <v>-0.78</v>
      </c>
      <c r="H131">
        <v>35.1</v>
      </c>
      <c r="I131">
        <v>26.31</v>
      </c>
      <c r="J131">
        <v>25759280346</v>
      </c>
      <c r="K131">
        <v>2970000000</v>
      </c>
      <c r="L131">
        <v>2.5446819999999999</v>
      </c>
      <c r="M131">
        <v>1.71</v>
      </c>
      <c r="N131" t="s">
        <v>416</v>
      </c>
      <c r="O131">
        <v>25.8</v>
      </c>
      <c r="P131">
        <v>3</v>
      </c>
    </row>
    <row r="132" spans="1:16" x14ac:dyDescent="0.45">
      <c r="A132" t="s">
        <v>417</v>
      </c>
      <c r="B132" t="s">
        <v>418</v>
      </c>
      <c r="C132" t="s">
        <v>113</v>
      </c>
      <c r="D132">
        <v>178.61</v>
      </c>
      <c r="E132">
        <v>30.69</v>
      </c>
      <c r="F132">
        <v>1.0917627000000001</v>
      </c>
      <c r="G132">
        <v>6.09</v>
      </c>
      <c r="H132">
        <v>199.88</v>
      </c>
      <c r="I132">
        <v>150</v>
      </c>
      <c r="J132">
        <v>80439804508</v>
      </c>
      <c r="K132">
        <v>5679000000</v>
      </c>
      <c r="L132">
        <v>0.61203885000000002</v>
      </c>
      <c r="M132">
        <v>7.24</v>
      </c>
      <c r="N132" t="s">
        <v>419</v>
      </c>
      <c r="O132">
        <v>80.400000000000006</v>
      </c>
      <c r="P132">
        <v>5.7</v>
      </c>
    </row>
    <row r="133" spans="1:16" x14ac:dyDescent="0.45">
      <c r="A133" t="s">
        <v>420</v>
      </c>
      <c r="B133" t="s">
        <v>421</v>
      </c>
      <c r="C133" t="s">
        <v>113</v>
      </c>
      <c r="D133">
        <v>19.96</v>
      </c>
      <c r="E133">
        <v>24.64</v>
      </c>
      <c r="F133">
        <v>2.8604120000000002</v>
      </c>
      <c r="G133">
        <v>-0.63</v>
      </c>
      <c r="H133">
        <v>21.175000000000001</v>
      </c>
      <c r="I133">
        <v>14.24</v>
      </c>
      <c r="J133">
        <v>13101112504</v>
      </c>
      <c r="K133">
        <v>211400000</v>
      </c>
      <c r="L133">
        <v>2.0061795999999998</v>
      </c>
      <c r="M133">
        <v>1.37</v>
      </c>
      <c r="N133" t="s">
        <v>422</v>
      </c>
      <c r="O133">
        <v>13.1</v>
      </c>
      <c r="P133">
        <v>0.2</v>
      </c>
    </row>
    <row r="134" spans="1:16" x14ac:dyDescent="0.45">
      <c r="A134" t="s">
        <v>423</v>
      </c>
      <c r="B134" t="s">
        <v>424</v>
      </c>
      <c r="C134" t="s">
        <v>82</v>
      </c>
      <c r="D134">
        <v>103.81</v>
      </c>
      <c r="E134">
        <v>21.45</v>
      </c>
      <c r="F134">
        <v>3.862069</v>
      </c>
      <c r="G134">
        <v>1.02</v>
      </c>
      <c r="H134">
        <v>114.97</v>
      </c>
      <c r="I134">
        <v>86.93</v>
      </c>
      <c r="J134">
        <v>44183023189</v>
      </c>
      <c r="K134">
        <v>2292600000</v>
      </c>
      <c r="L134">
        <v>10.125291000000001</v>
      </c>
      <c r="M134">
        <v>3.54</v>
      </c>
      <c r="N134" t="s">
        <v>425</v>
      </c>
      <c r="O134">
        <v>44.2</v>
      </c>
      <c r="P134">
        <v>2.2999999999999998</v>
      </c>
    </row>
    <row r="135" spans="1:16" x14ac:dyDescent="0.45">
      <c r="A135" t="s">
        <v>426</v>
      </c>
      <c r="B135" t="s">
        <v>427</v>
      </c>
      <c r="C135" t="s">
        <v>32</v>
      </c>
      <c r="D135">
        <v>30.85</v>
      </c>
      <c r="E135">
        <v>15.12</v>
      </c>
      <c r="F135">
        <v>1.275917</v>
      </c>
      <c r="G135">
        <v>1.83</v>
      </c>
      <c r="H135">
        <v>33.79</v>
      </c>
      <c r="I135">
        <v>27.38</v>
      </c>
      <c r="J135">
        <v>5134501276</v>
      </c>
      <c r="K135">
        <v>543000000</v>
      </c>
      <c r="L135">
        <v>1.3324838999999999</v>
      </c>
      <c r="M135">
        <v>11.37</v>
      </c>
      <c r="N135" t="s">
        <v>428</v>
      </c>
      <c r="O135">
        <v>5.0999999999999996</v>
      </c>
      <c r="P135">
        <v>0.5</v>
      </c>
    </row>
    <row r="136" spans="1:16" x14ac:dyDescent="0.45">
      <c r="A136" t="s">
        <v>429</v>
      </c>
      <c r="B136" t="s">
        <v>430</v>
      </c>
      <c r="C136" t="s">
        <v>18</v>
      </c>
      <c r="D136">
        <v>50.47</v>
      </c>
      <c r="E136">
        <v>21.94</v>
      </c>
      <c r="F136">
        <v>1.5102888000000001</v>
      </c>
      <c r="G136">
        <v>6.07</v>
      </c>
      <c r="H136">
        <v>60.04</v>
      </c>
      <c r="I136">
        <v>45.41</v>
      </c>
      <c r="J136">
        <v>47340511707</v>
      </c>
      <c r="K136">
        <v>5003000000</v>
      </c>
      <c r="L136">
        <v>4.2163550000000001</v>
      </c>
      <c r="M136">
        <v>4.2699999999999996</v>
      </c>
      <c r="N136" t="s">
        <v>431</v>
      </c>
      <c r="O136">
        <v>47.3</v>
      </c>
      <c r="P136">
        <v>5</v>
      </c>
    </row>
    <row r="137" spans="1:16" x14ac:dyDescent="0.45">
      <c r="A137" t="s">
        <v>432</v>
      </c>
      <c r="B137" t="s">
        <v>433</v>
      </c>
      <c r="C137" t="s">
        <v>18</v>
      </c>
      <c r="D137">
        <v>165.73</v>
      </c>
      <c r="E137">
        <v>16.829999999999998</v>
      </c>
      <c r="F137">
        <v>2.5008683</v>
      </c>
      <c r="G137">
        <v>8.23</v>
      </c>
      <c r="H137">
        <v>194.18</v>
      </c>
      <c r="I137">
        <v>143.83009999999999</v>
      </c>
      <c r="J137">
        <v>28669230787</v>
      </c>
      <c r="K137">
        <v>2924000000</v>
      </c>
      <c r="L137">
        <v>1.9406167999999999</v>
      </c>
      <c r="M137">
        <v>3.89</v>
      </c>
      <c r="N137" t="s">
        <v>434</v>
      </c>
      <c r="O137">
        <v>28.7</v>
      </c>
      <c r="P137">
        <v>2.9</v>
      </c>
    </row>
    <row r="138" spans="1:16" x14ac:dyDescent="0.45">
      <c r="A138" t="s">
        <v>435</v>
      </c>
      <c r="B138" t="s">
        <v>436</v>
      </c>
      <c r="C138" t="s">
        <v>113</v>
      </c>
      <c r="D138">
        <v>70.55</v>
      </c>
      <c r="E138">
        <v>12.36</v>
      </c>
      <c r="F138">
        <v>2.6899798000000001</v>
      </c>
      <c r="G138">
        <v>4.91</v>
      </c>
      <c r="H138">
        <v>84</v>
      </c>
      <c r="I138">
        <v>66.45</v>
      </c>
      <c r="J138">
        <v>75323141722</v>
      </c>
      <c r="K138">
        <v>11704000000</v>
      </c>
      <c r="L138">
        <v>0.54985200000000001</v>
      </c>
      <c r="M138">
        <v>2.13</v>
      </c>
      <c r="N138" t="s">
        <v>437</v>
      </c>
      <c r="O138">
        <v>75.3</v>
      </c>
      <c r="P138">
        <v>11.7</v>
      </c>
    </row>
    <row r="139" spans="1:16" x14ac:dyDescent="0.45">
      <c r="A139" t="s">
        <v>438</v>
      </c>
      <c r="B139" t="s">
        <v>439</v>
      </c>
      <c r="C139" t="s">
        <v>45</v>
      </c>
      <c r="D139">
        <v>44.55</v>
      </c>
      <c r="E139">
        <v>16.32</v>
      </c>
      <c r="F139">
        <v>1.0801468999999999</v>
      </c>
      <c r="G139">
        <v>2.73</v>
      </c>
      <c r="H139">
        <v>53.32</v>
      </c>
      <c r="I139">
        <v>29.371600000000001</v>
      </c>
      <c r="J139">
        <v>17390873686</v>
      </c>
      <c r="K139">
        <v>1691000000</v>
      </c>
      <c r="L139">
        <v>1.1931022</v>
      </c>
      <c r="M139">
        <v>2.17</v>
      </c>
      <c r="N139" t="s">
        <v>440</v>
      </c>
      <c r="O139">
        <v>17.399999999999999</v>
      </c>
      <c r="P139">
        <v>1.7</v>
      </c>
    </row>
    <row r="140" spans="1:16" x14ac:dyDescent="0.45">
      <c r="A140" t="s">
        <v>441</v>
      </c>
      <c r="B140" t="s">
        <v>442</v>
      </c>
      <c r="C140" t="s">
        <v>25</v>
      </c>
      <c r="D140">
        <v>92.16</v>
      </c>
      <c r="E140">
        <v>22.87</v>
      </c>
      <c r="F140">
        <v>0.58792650000000002</v>
      </c>
      <c r="G140">
        <v>3.53</v>
      </c>
      <c r="H140">
        <v>104.82</v>
      </c>
      <c r="I140">
        <v>78.97</v>
      </c>
      <c r="J140">
        <v>66351150000</v>
      </c>
      <c r="K140">
        <v>4339800000</v>
      </c>
      <c r="L140">
        <v>3.6882779999999999</v>
      </c>
      <c r="M140">
        <v>2.65</v>
      </c>
      <c r="N140" t="s">
        <v>443</v>
      </c>
      <c r="O140">
        <v>66.400000000000006</v>
      </c>
      <c r="P140">
        <v>4.3</v>
      </c>
    </row>
    <row r="141" spans="1:16" x14ac:dyDescent="0.45">
      <c r="A141" t="s">
        <v>444</v>
      </c>
      <c r="B141" t="s">
        <v>445</v>
      </c>
      <c r="C141" t="s">
        <v>45</v>
      </c>
      <c r="D141">
        <v>91.33</v>
      </c>
      <c r="E141">
        <v>22.72</v>
      </c>
      <c r="F141">
        <v>2.6503996999999999</v>
      </c>
      <c r="G141">
        <v>3.81</v>
      </c>
      <c r="H141">
        <v>100.11</v>
      </c>
      <c r="I141">
        <v>71.7</v>
      </c>
      <c r="J141">
        <v>11745595320</v>
      </c>
      <c r="K141">
        <v>997600000</v>
      </c>
      <c r="L141">
        <v>1.5278828</v>
      </c>
      <c r="M141">
        <v>5.89</v>
      </c>
      <c r="N141" t="s">
        <v>446</v>
      </c>
      <c r="O141">
        <v>11.7</v>
      </c>
      <c r="P141">
        <v>1</v>
      </c>
    </row>
    <row r="142" spans="1:16" x14ac:dyDescent="0.45">
      <c r="A142" t="s">
        <v>447</v>
      </c>
      <c r="B142" t="s">
        <v>448</v>
      </c>
      <c r="C142" t="s">
        <v>25</v>
      </c>
      <c r="D142">
        <v>71.91</v>
      </c>
      <c r="E142">
        <v>20.55</v>
      </c>
      <c r="F142">
        <v>0</v>
      </c>
      <c r="G142">
        <v>4.3</v>
      </c>
      <c r="H142">
        <v>80.709999999999994</v>
      </c>
      <c r="I142">
        <v>52.51</v>
      </c>
      <c r="J142">
        <v>13685178000</v>
      </c>
      <c r="K142">
        <v>2252294000</v>
      </c>
      <c r="L142">
        <v>1.1451397000000001</v>
      </c>
      <c r="M142">
        <v>2.79</v>
      </c>
      <c r="N142" t="s">
        <v>449</v>
      </c>
      <c r="O142">
        <v>13.7</v>
      </c>
      <c r="P142">
        <v>2.2999999999999998</v>
      </c>
    </row>
    <row r="143" spans="1:16" x14ac:dyDescent="0.45">
      <c r="A143" t="s">
        <v>450</v>
      </c>
      <c r="B143" t="s">
        <v>451</v>
      </c>
      <c r="C143" t="s">
        <v>18</v>
      </c>
      <c r="D143">
        <v>153.66</v>
      </c>
      <c r="E143">
        <v>23.14</v>
      </c>
      <c r="F143">
        <v>1.4866204000000001</v>
      </c>
      <c r="G143">
        <v>6.64</v>
      </c>
      <c r="H143">
        <v>171.96</v>
      </c>
      <c r="I143">
        <v>106.72</v>
      </c>
      <c r="J143">
        <v>52186628646</v>
      </c>
      <c r="K143">
        <v>4053300000</v>
      </c>
      <c r="L143">
        <v>2.3746448</v>
      </c>
      <c r="M143">
        <v>5.31</v>
      </c>
      <c r="N143" t="s">
        <v>452</v>
      </c>
      <c r="O143">
        <v>52.2</v>
      </c>
      <c r="P143">
        <v>4.0999999999999996</v>
      </c>
    </row>
    <row r="144" spans="1:16" x14ac:dyDescent="0.45">
      <c r="A144" t="s">
        <v>453</v>
      </c>
      <c r="B144" t="s">
        <v>454</v>
      </c>
      <c r="C144" t="s">
        <v>18</v>
      </c>
      <c r="D144">
        <v>51.23</v>
      </c>
      <c r="E144">
        <v>10.37</v>
      </c>
      <c r="F144">
        <v>2.2655525000000001</v>
      </c>
      <c r="G144">
        <v>4.9400000000000004</v>
      </c>
      <c r="H144">
        <v>60.79</v>
      </c>
      <c r="I144">
        <v>43.81</v>
      </c>
      <c r="J144">
        <v>38393603535</v>
      </c>
      <c r="K144">
        <v>8348000000</v>
      </c>
      <c r="L144">
        <v>0.91792434000000001</v>
      </c>
      <c r="M144">
        <v>2.67</v>
      </c>
      <c r="N144" t="s">
        <v>455</v>
      </c>
      <c r="O144">
        <v>38.4</v>
      </c>
      <c r="P144">
        <v>8.3000000000000007</v>
      </c>
    </row>
    <row r="145" spans="1:16" x14ac:dyDescent="0.45">
      <c r="A145" t="s">
        <v>456</v>
      </c>
      <c r="B145" t="s">
        <v>457</v>
      </c>
      <c r="C145" t="s">
        <v>25</v>
      </c>
      <c r="D145">
        <v>56.85</v>
      </c>
      <c r="E145">
        <v>22.65</v>
      </c>
      <c r="F145">
        <v>0.60034304999999999</v>
      </c>
      <c r="G145">
        <v>1.99</v>
      </c>
      <c r="H145">
        <v>68.98</v>
      </c>
      <c r="I145">
        <v>52.534999999999997</v>
      </c>
      <c r="J145">
        <v>13390513478</v>
      </c>
      <c r="K145">
        <v>-411100000</v>
      </c>
      <c r="L145">
        <v>4.6262619999999997</v>
      </c>
      <c r="M145">
        <v>1.8</v>
      </c>
      <c r="N145" t="s">
        <v>458</v>
      </c>
      <c r="O145">
        <v>13.4</v>
      </c>
      <c r="P145">
        <v>-0.4</v>
      </c>
    </row>
    <row r="146" spans="1:16" x14ac:dyDescent="0.45">
      <c r="A146" t="s">
        <v>459</v>
      </c>
      <c r="B146" t="s">
        <v>460</v>
      </c>
      <c r="C146" t="s">
        <v>156</v>
      </c>
      <c r="D146">
        <v>34.94</v>
      </c>
      <c r="E146">
        <v>23.93</v>
      </c>
      <c r="F146">
        <v>0.65288360000000001</v>
      </c>
      <c r="G146">
        <v>-6.89</v>
      </c>
      <c r="H146">
        <v>47.25</v>
      </c>
      <c r="I146">
        <v>28.794699999999999</v>
      </c>
      <c r="J146">
        <v>19317380000</v>
      </c>
      <c r="K146">
        <v>3723000000</v>
      </c>
      <c r="L146">
        <v>2.0660408000000001</v>
      </c>
      <c r="M146">
        <v>2.85</v>
      </c>
      <c r="N146" t="s">
        <v>461</v>
      </c>
      <c r="O146">
        <v>19.3</v>
      </c>
      <c r="P146">
        <v>3.7</v>
      </c>
    </row>
    <row r="147" spans="1:16" x14ac:dyDescent="0.45">
      <c r="A147" t="s">
        <v>462</v>
      </c>
      <c r="B147" t="s">
        <v>463</v>
      </c>
      <c r="C147" t="s">
        <v>82</v>
      </c>
      <c r="D147">
        <v>98.96</v>
      </c>
      <c r="E147">
        <v>16.55</v>
      </c>
      <c r="F147">
        <v>3.5710856999999998</v>
      </c>
      <c r="G147">
        <v>2.19</v>
      </c>
      <c r="H147">
        <v>127.23</v>
      </c>
      <c r="I147">
        <v>101.101</v>
      </c>
      <c r="J147">
        <v>21400952517</v>
      </c>
      <c r="K147">
        <v>1260662000</v>
      </c>
      <c r="L147">
        <v>12.434960999999999</v>
      </c>
      <c r="M147">
        <v>2.3199999999999998</v>
      </c>
      <c r="N147" t="s">
        <v>464</v>
      </c>
      <c r="O147">
        <v>21.4</v>
      </c>
      <c r="P147">
        <v>1.3</v>
      </c>
    </row>
    <row r="148" spans="1:16" x14ac:dyDescent="0.45">
      <c r="A148" t="s">
        <v>465</v>
      </c>
      <c r="B148" t="s">
        <v>466</v>
      </c>
      <c r="C148" t="s">
        <v>59</v>
      </c>
      <c r="D148">
        <v>72.400000000000006</v>
      </c>
      <c r="E148">
        <v>12.13</v>
      </c>
      <c r="F148">
        <v>1.8269607000000001</v>
      </c>
      <c r="G148">
        <v>5.41</v>
      </c>
      <c r="H148">
        <v>81.93</v>
      </c>
      <c r="I148">
        <v>57.5</v>
      </c>
      <c r="J148">
        <v>27433540000</v>
      </c>
      <c r="K148">
        <v>0</v>
      </c>
      <c r="L148">
        <v>2.3610324999999999</v>
      </c>
      <c r="M148">
        <v>2.52</v>
      </c>
      <c r="N148" t="s">
        <v>467</v>
      </c>
      <c r="O148">
        <v>27.4</v>
      </c>
      <c r="P148">
        <v>0</v>
      </c>
    </row>
    <row r="149" spans="1:16" x14ac:dyDescent="0.45">
      <c r="A149" t="s">
        <v>468</v>
      </c>
      <c r="B149" t="s">
        <v>469</v>
      </c>
      <c r="C149" t="s">
        <v>45</v>
      </c>
      <c r="D149">
        <v>22.87</v>
      </c>
      <c r="E149">
        <v>11</v>
      </c>
      <c r="F149">
        <v>0</v>
      </c>
      <c r="G149">
        <v>1.96</v>
      </c>
      <c r="H149">
        <v>30.25</v>
      </c>
      <c r="I149">
        <v>15.99</v>
      </c>
      <c r="J149">
        <v>8763756733</v>
      </c>
      <c r="K149">
        <v>2100000000</v>
      </c>
      <c r="L149">
        <v>1.8040879999999999</v>
      </c>
      <c r="M149">
        <v>1.5</v>
      </c>
      <c r="N149" t="s">
        <v>470</v>
      </c>
      <c r="O149">
        <v>8.8000000000000007</v>
      </c>
      <c r="P149">
        <v>2.1</v>
      </c>
    </row>
    <row r="150" spans="1:16" x14ac:dyDescent="0.45">
      <c r="A150" t="s">
        <v>471</v>
      </c>
      <c r="B150" t="s">
        <v>472</v>
      </c>
      <c r="C150" t="s">
        <v>45</v>
      </c>
      <c r="D150">
        <v>21.58</v>
      </c>
      <c r="E150">
        <v>10.37</v>
      </c>
      <c r="F150">
        <v>0</v>
      </c>
      <c r="G150">
        <v>1.96</v>
      </c>
      <c r="H150">
        <v>29.18</v>
      </c>
      <c r="I150">
        <v>14.99</v>
      </c>
      <c r="J150">
        <v>8320262123</v>
      </c>
      <c r="K150">
        <v>2100000000</v>
      </c>
      <c r="L150">
        <v>1.7147918</v>
      </c>
      <c r="M150">
        <v>1.43</v>
      </c>
      <c r="N150" t="s">
        <v>473</v>
      </c>
      <c r="O150">
        <v>8.3000000000000007</v>
      </c>
      <c r="P150">
        <v>2.1</v>
      </c>
    </row>
    <row r="151" spans="1:16" x14ac:dyDescent="0.45">
      <c r="A151" t="s">
        <v>474</v>
      </c>
      <c r="B151" t="s">
        <v>475</v>
      </c>
      <c r="C151" t="s">
        <v>45</v>
      </c>
      <c r="D151">
        <v>43.77</v>
      </c>
      <c r="E151">
        <v>16.09</v>
      </c>
      <c r="F151">
        <v>0</v>
      </c>
      <c r="G151">
        <v>3.06</v>
      </c>
      <c r="H151">
        <v>66.5</v>
      </c>
      <c r="I151">
        <v>42.48</v>
      </c>
      <c r="J151">
        <v>21032719056</v>
      </c>
      <c r="K151">
        <v>2754331000</v>
      </c>
      <c r="L151">
        <v>1.8521843</v>
      </c>
      <c r="M151">
        <v>3.76</v>
      </c>
      <c r="N151" t="s">
        <v>476</v>
      </c>
      <c r="O151">
        <v>21</v>
      </c>
      <c r="P151">
        <v>2.8</v>
      </c>
    </row>
    <row r="152" spans="1:16" x14ac:dyDescent="0.45">
      <c r="A152" t="s">
        <v>477</v>
      </c>
      <c r="B152" t="s">
        <v>478</v>
      </c>
      <c r="C152" t="s">
        <v>45</v>
      </c>
      <c r="D152">
        <v>95.1</v>
      </c>
      <c r="E152">
        <v>21.18</v>
      </c>
      <c r="F152">
        <v>1.0625255</v>
      </c>
      <c r="G152">
        <v>4.43</v>
      </c>
      <c r="H152">
        <v>105.82</v>
      </c>
      <c r="I152">
        <v>65.97</v>
      </c>
      <c r="J152">
        <v>26580644874</v>
      </c>
      <c r="K152">
        <v>2457604000</v>
      </c>
      <c r="L152">
        <v>1.5283886</v>
      </c>
      <c r="M152">
        <v>4.53</v>
      </c>
      <c r="N152" t="s">
        <v>479</v>
      </c>
      <c r="O152">
        <v>26.6</v>
      </c>
      <c r="P152">
        <v>2.5</v>
      </c>
    </row>
    <row r="153" spans="1:16" x14ac:dyDescent="0.45">
      <c r="A153" t="s">
        <v>480</v>
      </c>
      <c r="B153" t="s">
        <v>481</v>
      </c>
      <c r="C153" t="s">
        <v>45</v>
      </c>
      <c r="D153">
        <v>101.58</v>
      </c>
      <c r="E153">
        <v>26.66</v>
      </c>
      <c r="F153">
        <v>0</v>
      </c>
      <c r="G153">
        <v>3.77</v>
      </c>
      <c r="H153">
        <v>116.65</v>
      </c>
      <c r="I153">
        <v>65.63</v>
      </c>
      <c r="J153">
        <v>25151198417</v>
      </c>
      <c r="K153">
        <v>2430300000</v>
      </c>
      <c r="L153">
        <v>1.6097589000000001</v>
      </c>
      <c r="M153">
        <v>4.08</v>
      </c>
      <c r="N153" t="s">
        <v>482</v>
      </c>
      <c r="O153">
        <v>25.2</v>
      </c>
      <c r="P153">
        <v>2.4</v>
      </c>
    </row>
    <row r="154" spans="1:16" x14ac:dyDescent="0.45">
      <c r="A154" t="s">
        <v>483</v>
      </c>
      <c r="B154" t="s">
        <v>484</v>
      </c>
      <c r="C154" t="s">
        <v>52</v>
      </c>
      <c r="D154">
        <v>73.31</v>
      </c>
      <c r="E154">
        <v>20.420000000000002</v>
      </c>
      <c r="F154">
        <v>4.5281997</v>
      </c>
      <c r="G154">
        <v>4.91</v>
      </c>
      <c r="H154">
        <v>85.3</v>
      </c>
      <c r="I154">
        <v>71.59</v>
      </c>
      <c r="J154">
        <v>47543571860</v>
      </c>
      <c r="K154">
        <v>6428000000</v>
      </c>
      <c r="L154">
        <v>3.7954213999999999</v>
      </c>
      <c r="M154">
        <v>2.96</v>
      </c>
      <c r="N154" t="s">
        <v>485</v>
      </c>
      <c r="O154">
        <v>47.5</v>
      </c>
      <c r="P154">
        <v>6.4</v>
      </c>
    </row>
    <row r="155" spans="1:16" x14ac:dyDescent="0.45">
      <c r="A155" t="s">
        <v>486</v>
      </c>
      <c r="B155" t="s">
        <v>487</v>
      </c>
      <c r="C155" t="s">
        <v>18</v>
      </c>
      <c r="D155">
        <v>96.2</v>
      </c>
      <c r="E155">
        <v>23.87</v>
      </c>
      <c r="F155">
        <v>1.8815052999999999</v>
      </c>
      <c r="G155">
        <v>5.15</v>
      </c>
      <c r="H155">
        <v>109.06</v>
      </c>
      <c r="I155">
        <v>75.510000000000005</v>
      </c>
      <c r="J155">
        <v>15566645713</v>
      </c>
      <c r="K155">
        <v>1513291000</v>
      </c>
      <c r="L155">
        <v>1.9861759999999999</v>
      </c>
      <c r="M155">
        <v>3.59</v>
      </c>
      <c r="N155" t="s">
        <v>488</v>
      </c>
      <c r="O155">
        <v>15.6</v>
      </c>
      <c r="P155">
        <v>1.5</v>
      </c>
    </row>
    <row r="156" spans="1:16" x14ac:dyDescent="0.45">
      <c r="A156" t="s">
        <v>489</v>
      </c>
      <c r="B156" t="s">
        <v>490</v>
      </c>
      <c r="C156" t="s">
        <v>69</v>
      </c>
      <c r="D156">
        <v>68.209999999999994</v>
      </c>
      <c r="E156">
        <v>49.43</v>
      </c>
      <c r="F156">
        <v>2.1529745999999998</v>
      </c>
      <c r="G156">
        <v>1.59</v>
      </c>
      <c r="H156">
        <v>77.08</v>
      </c>
      <c r="I156">
        <v>64.010000000000005</v>
      </c>
      <c r="J156">
        <v>165203312427</v>
      </c>
      <c r="K156">
        <v>5250000000</v>
      </c>
      <c r="L156">
        <v>2.6922394999999999</v>
      </c>
      <c r="M156">
        <v>1.54</v>
      </c>
      <c r="N156" t="s">
        <v>491</v>
      </c>
      <c r="O156">
        <v>165.2</v>
      </c>
      <c r="P156">
        <v>5.2</v>
      </c>
    </row>
    <row r="157" spans="1:16" x14ac:dyDescent="0.45">
      <c r="A157" t="s">
        <v>492</v>
      </c>
      <c r="B157" t="s">
        <v>493</v>
      </c>
      <c r="C157" t="s">
        <v>113</v>
      </c>
      <c r="D157">
        <v>116.93</v>
      </c>
      <c r="E157">
        <v>26.57</v>
      </c>
      <c r="F157">
        <v>1.9661016</v>
      </c>
      <c r="G157">
        <v>4.54</v>
      </c>
      <c r="H157">
        <v>126.65</v>
      </c>
      <c r="I157">
        <v>83.23</v>
      </c>
      <c r="J157">
        <v>21209783858</v>
      </c>
      <c r="K157">
        <v>1507000000</v>
      </c>
      <c r="L157">
        <v>4.2149185999999998</v>
      </c>
      <c r="M157">
        <v>9.99</v>
      </c>
      <c r="N157" t="s">
        <v>494</v>
      </c>
      <c r="O157">
        <v>21.2</v>
      </c>
      <c r="P157">
        <v>1.5</v>
      </c>
    </row>
    <row r="158" spans="1:16" x14ac:dyDescent="0.45">
      <c r="A158" t="s">
        <v>495</v>
      </c>
      <c r="B158" t="s">
        <v>496</v>
      </c>
      <c r="C158" t="s">
        <v>52</v>
      </c>
      <c r="D158">
        <v>98.49</v>
      </c>
      <c r="E158">
        <v>19.12</v>
      </c>
      <c r="F158">
        <v>3.5559585</v>
      </c>
      <c r="G158">
        <v>4.82</v>
      </c>
      <c r="H158">
        <v>116.74</v>
      </c>
      <c r="I158">
        <v>96.56</v>
      </c>
      <c r="J158">
        <v>17808073691</v>
      </c>
      <c r="K158">
        <v>2790000000</v>
      </c>
      <c r="L158">
        <v>1.9091921999999999</v>
      </c>
      <c r="M158">
        <v>1.95</v>
      </c>
      <c r="N158" t="s">
        <v>497</v>
      </c>
      <c r="O158">
        <v>17.8</v>
      </c>
      <c r="P158">
        <v>2.8</v>
      </c>
    </row>
    <row r="159" spans="1:16" x14ac:dyDescent="0.45">
      <c r="A159" t="s">
        <v>498</v>
      </c>
      <c r="B159" t="s">
        <v>499</v>
      </c>
      <c r="C159" t="s">
        <v>52</v>
      </c>
      <c r="D159">
        <v>74.319999999999993</v>
      </c>
      <c r="E159">
        <v>16.7</v>
      </c>
      <c r="F159">
        <v>4.7849463999999999</v>
      </c>
      <c r="G159">
        <v>3.12</v>
      </c>
      <c r="H159">
        <v>91.8</v>
      </c>
      <c r="I159">
        <v>72.930000000000007</v>
      </c>
      <c r="J159">
        <v>52078185682</v>
      </c>
      <c r="K159">
        <v>9895000000</v>
      </c>
      <c r="L159">
        <v>2.9348857000000002</v>
      </c>
      <c r="M159">
        <v>1.27</v>
      </c>
      <c r="N159" t="s">
        <v>500</v>
      </c>
      <c r="O159">
        <v>52.1</v>
      </c>
      <c r="P159">
        <v>9.9</v>
      </c>
    </row>
    <row r="160" spans="1:16" x14ac:dyDescent="0.45">
      <c r="A160" t="s">
        <v>501</v>
      </c>
      <c r="B160" t="s">
        <v>502</v>
      </c>
      <c r="C160" t="s">
        <v>82</v>
      </c>
      <c r="D160">
        <v>24.52</v>
      </c>
      <c r="E160">
        <v>19.77</v>
      </c>
      <c r="F160">
        <v>3.1533308</v>
      </c>
      <c r="G160">
        <v>0.88</v>
      </c>
      <c r="H160">
        <v>30.14</v>
      </c>
      <c r="I160">
        <v>24.73</v>
      </c>
      <c r="J160">
        <v>9035293365</v>
      </c>
      <c r="K160">
        <v>529483000</v>
      </c>
      <c r="L160">
        <v>16.077256999999999</v>
      </c>
      <c r="M160">
        <v>1.94</v>
      </c>
      <c r="N160" t="s">
        <v>503</v>
      </c>
      <c r="O160">
        <v>9</v>
      </c>
      <c r="P160">
        <v>0.5</v>
      </c>
    </row>
    <row r="161" spans="1:16" x14ac:dyDescent="0.45">
      <c r="A161" t="s">
        <v>504</v>
      </c>
      <c r="B161" t="s">
        <v>505</v>
      </c>
      <c r="C161" t="s">
        <v>32</v>
      </c>
      <c r="D161">
        <v>91.92</v>
      </c>
      <c r="E161">
        <v>79.930000000000007</v>
      </c>
      <c r="F161">
        <v>0.74937549999999997</v>
      </c>
      <c r="G161">
        <v>-0.89</v>
      </c>
      <c r="H161">
        <v>102.95</v>
      </c>
      <c r="I161">
        <v>67.760000000000005</v>
      </c>
      <c r="J161">
        <v>27408621020</v>
      </c>
      <c r="K161">
        <v>1628000000</v>
      </c>
      <c r="L161">
        <v>1.9598055000000001</v>
      </c>
      <c r="M161">
        <v>2.2599999999999998</v>
      </c>
      <c r="N161" t="s">
        <v>506</v>
      </c>
      <c r="O161">
        <v>27.4</v>
      </c>
      <c r="P161">
        <v>1.6</v>
      </c>
    </row>
    <row r="162" spans="1:16" x14ac:dyDescent="0.45">
      <c r="A162" t="s">
        <v>507</v>
      </c>
      <c r="B162" t="s">
        <v>508</v>
      </c>
      <c r="C162" t="s">
        <v>59</v>
      </c>
      <c r="D162">
        <v>48.48</v>
      </c>
      <c r="E162">
        <v>22.14</v>
      </c>
      <c r="F162">
        <v>0</v>
      </c>
      <c r="G162">
        <v>2.15</v>
      </c>
      <c r="H162">
        <v>56</v>
      </c>
      <c r="I162">
        <v>32.25</v>
      </c>
      <c r="J162">
        <v>13754977266</v>
      </c>
      <c r="K162">
        <v>0</v>
      </c>
      <c r="L162">
        <v>5.6891360000000004</v>
      </c>
      <c r="M162">
        <v>2.15</v>
      </c>
      <c r="N162" t="s">
        <v>509</v>
      </c>
      <c r="O162">
        <v>13.8</v>
      </c>
      <c r="P162">
        <v>0</v>
      </c>
    </row>
    <row r="163" spans="1:16" x14ac:dyDescent="0.45">
      <c r="A163" t="s">
        <v>510</v>
      </c>
      <c r="B163" t="s">
        <v>511</v>
      </c>
      <c r="C163" t="s">
        <v>69</v>
      </c>
      <c r="D163">
        <v>93.57</v>
      </c>
      <c r="E163">
        <v>12.28</v>
      </c>
      <c r="F163">
        <v>2.2630835</v>
      </c>
      <c r="G163">
        <v>10.119999999999999</v>
      </c>
      <c r="H163">
        <v>104.08</v>
      </c>
      <c r="I163">
        <v>76.02</v>
      </c>
      <c r="J163">
        <v>14226830813</v>
      </c>
      <c r="K163">
        <v>2152000000</v>
      </c>
      <c r="L163">
        <v>1.4904785</v>
      </c>
      <c r="M163">
        <v>2.78</v>
      </c>
      <c r="N163" t="s">
        <v>512</v>
      </c>
      <c r="O163">
        <v>14.2</v>
      </c>
      <c r="P163">
        <v>2.2000000000000002</v>
      </c>
    </row>
    <row r="164" spans="1:16" x14ac:dyDescent="0.45">
      <c r="A164" t="s">
        <v>513</v>
      </c>
      <c r="B164" t="s">
        <v>514</v>
      </c>
      <c r="C164" t="s">
        <v>18</v>
      </c>
      <c r="D164">
        <v>79.41</v>
      </c>
      <c r="E164">
        <v>17.079999999999998</v>
      </c>
      <c r="F164">
        <v>2.9404556999999998</v>
      </c>
      <c r="G164">
        <v>6.68</v>
      </c>
      <c r="H164">
        <v>89.85</v>
      </c>
      <c r="I164">
        <v>69.45</v>
      </c>
      <c r="J164">
        <v>35961772000</v>
      </c>
      <c r="K164">
        <v>4253000000</v>
      </c>
      <c r="L164">
        <v>1.8161735999999999</v>
      </c>
      <c r="M164">
        <v>2.17</v>
      </c>
      <c r="N164" t="s">
        <v>515</v>
      </c>
      <c r="O164">
        <v>36</v>
      </c>
      <c r="P164">
        <v>4.3</v>
      </c>
    </row>
    <row r="165" spans="1:16" x14ac:dyDescent="0.45">
      <c r="A165" t="s">
        <v>516</v>
      </c>
      <c r="B165" t="s">
        <v>517</v>
      </c>
      <c r="C165" t="s">
        <v>32</v>
      </c>
      <c r="D165">
        <v>41.02</v>
      </c>
      <c r="E165">
        <v>24.86</v>
      </c>
      <c r="F165">
        <v>0</v>
      </c>
      <c r="G165">
        <v>-1.07</v>
      </c>
      <c r="H165">
        <v>46.99</v>
      </c>
      <c r="I165">
        <v>31.89</v>
      </c>
      <c r="J165">
        <v>44216696399</v>
      </c>
      <c r="K165">
        <v>2941000000</v>
      </c>
      <c r="L165">
        <v>4.6720185000000001</v>
      </c>
      <c r="M165">
        <v>3.8</v>
      </c>
      <c r="N165" t="s">
        <v>518</v>
      </c>
      <c r="O165">
        <v>44.2</v>
      </c>
      <c r="P165">
        <v>2.9</v>
      </c>
    </row>
    <row r="166" spans="1:16" x14ac:dyDescent="0.45">
      <c r="A166" t="s">
        <v>519</v>
      </c>
      <c r="B166" t="s">
        <v>520</v>
      </c>
      <c r="C166" t="s">
        <v>69</v>
      </c>
      <c r="D166">
        <v>127.76</v>
      </c>
      <c r="E166">
        <v>28.08</v>
      </c>
      <c r="F166">
        <v>1.2319711</v>
      </c>
      <c r="G166">
        <v>4.1399999999999997</v>
      </c>
      <c r="H166">
        <v>140.5</v>
      </c>
      <c r="I166">
        <v>119.61</v>
      </c>
      <c r="J166">
        <v>38460272282</v>
      </c>
      <c r="K166">
        <v>2848600000</v>
      </c>
      <c r="L166">
        <v>3.7360687000000001</v>
      </c>
      <c r="M166">
        <v>5.28</v>
      </c>
      <c r="N166" t="s">
        <v>521</v>
      </c>
      <c r="O166">
        <v>38.5</v>
      </c>
      <c r="P166">
        <v>2.8</v>
      </c>
    </row>
    <row r="167" spans="1:16" x14ac:dyDescent="0.45">
      <c r="A167" t="s">
        <v>522</v>
      </c>
      <c r="B167" t="s">
        <v>523</v>
      </c>
      <c r="C167" t="s">
        <v>52</v>
      </c>
      <c r="D167">
        <v>58.07</v>
      </c>
      <c r="E167">
        <v>13.23</v>
      </c>
      <c r="F167">
        <v>4.0542803000000003</v>
      </c>
      <c r="G167">
        <v>3.96</v>
      </c>
      <c r="H167">
        <v>83.38</v>
      </c>
      <c r="I167">
        <v>58.76</v>
      </c>
      <c r="J167">
        <v>19447670886</v>
      </c>
      <c r="K167">
        <v>4284000000</v>
      </c>
      <c r="L167">
        <v>2.161095</v>
      </c>
      <c r="M167">
        <v>1.59</v>
      </c>
      <c r="N167" t="s">
        <v>524</v>
      </c>
      <c r="O167">
        <v>19.399999999999999</v>
      </c>
      <c r="P167">
        <v>4.3</v>
      </c>
    </row>
    <row r="168" spans="1:16" x14ac:dyDescent="0.45">
      <c r="A168" t="s">
        <v>525</v>
      </c>
      <c r="B168" t="s">
        <v>526</v>
      </c>
      <c r="C168" t="s">
        <v>25</v>
      </c>
      <c r="D168">
        <v>123.78</v>
      </c>
      <c r="E168">
        <v>32.57</v>
      </c>
      <c r="F168">
        <v>0</v>
      </c>
      <c r="G168">
        <v>2.88</v>
      </c>
      <c r="H168">
        <v>138.47999999999999</v>
      </c>
      <c r="I168">
        <v>89.2</v>
      </c>
      <c r="J168">
        <v>27447099863</v>
      </c>
      <c r="K168">
        <v>1156700000</v>
      </c>
      <c r="L168">
        <v>7.8283277</v>
      </c>
      <c r="M168">
        <v>8.48</v>
      </c>
      <c r="N168" t="s">
        <v>527</v>
      </c>
      <c r="O168">
        <v>27.4</v>
      </c>
      <c r="P168">
        <v>1.2</v>
      </c>
    </row>
    <row r="169" spans="1:16" x14ac:dyDescent="0.45">
      <c r="A169" t="s">
        <v>528</v>
      </c>
      <c r="B169" t="s">
        <v>529</v>
      </c>
      <c r="C169" t="s">
        <v>32</v>
      </c>
      <c r="D169">
        <v>116.54</v>
      </c>
      <c r="E169">
        <v>34.479999999999997</v>
      </c>
      <c r="F169">
        <v>0</v>
      </c>
      <c r="G169">
        <v>3.07</v>
      </c>
      <c r="H169">
        <v>131.01</v>
      </c>
      <c r="I169">
        <v>81.27</v>
      </c>
      <c r="J169">
        <v>37890226992</v>
      </c>
      <c r="K169">
        <v>1560000000</v>
      </c>
      <c r="L169">
        <v>7.4415817000000004</v>
      </c>
      <c r="M169">
        <v>8.5399999999999991</v>
      </c>
      <c r="N169" t="s">
        <v>530</v>
      </c>
      <c r="O169">
        <v>37.9</v>
      </c>
      <c r="P169">
        <v>1.6</v>
      </c>
    </row>
    <row r="170" spans="1:16" x14ac:dyDescent="0.45">
      <c r="A170" t="s">
        <v>531</v>
      </c>
      <c r="B170" t="s">
        <v>532</v>
      </c>
      <c r="C170" t="s">
        <v>18</v>
      </c>
      <c r="D170">
        <v>66.400000000000006</v>
      </c>
      <c r="E170">
        <v>25.74</v>
      </c>
      <c r="F170">
        <v>2.8132250000000001</v>
      </c>
      <c r="G170">
        <v>2.35</v>
      </c>
      <c r="H170">
        <v>74.45</v>
      </c>
      <c r="I170">
        <v>56.77</v>
      </c>
      <c r="J170">
        <v>44040298425</v>
      </c>
      <c r="K170">
        <v>2542000000</v>
      </c>
      <c r="L170">
        <v>3.6707752</v>
      </c>
      <c r="M170">
        <v>5.01</v>
      </c>
      <c r="N170" t="s">
        <v>533</v>
      </c>
      <c r="O170">
        <v>44</v>
      </c>
      <c r="P170">
        <v>2.5</v>
      </c>
    </row>
    <row r="171" spans="1:16" x14ac:dyDescent="0.45">
      <c r="A171" t="s">
        <v>534</v>
      </c>
      <c r="B171" t="s">
        <v>535</v>
      </c>
      <c r="C171" t="s">
        <v>52</v>
      </c>
      <c r="D171">
        <v>72.02</v>
      </c>
      <c r="E171">
        <v>10.65</v>
      </c>
      <c r="F171">
        <v>4.8921260000000002</v>
      </c>
      <c r="G171">
        <v>-3.26</v>
      </c>
      <c r="H171">
        <v>87.95</v>
      </c>
      <c r="I171">
        <v>69.63</v>
      </c>
      <c r="J171">
        <v>13116894887</v>
      </c>
      <c r="K171">
        <v>880700000</v>
      </c>
      <c r="L171">
        <v>1.5543115000000001</v>
      </c>
      <c r="M171">
        <v>1.54</v>
      </c>
      <c r="N171" t="s">
        <v>536</v>
      </c>
      <c r="O171">
        <v>13.1</v>
      </c>
      <c r="P171">
        <v>0.9</v>
      </c>
    </row>
    <row r="172" spans="1:16" x14ac:dyDescent="0.45">
      <c r="A172" t="s">
        <v>537</v>
      </c>
      <c r="B172" t="s">
        <v>538</v>
      </c>
      <c r="C172" t="s">
        <v>25</v>
      </c>
      <c r="D172">
        <v>35.340000000000003</v>
      </c>
      <c r="E172">
        <v>10.91</v>
      </c>
      <c r="F172">
        <v>0</v>
      </c>
      <c r="G172">
        <v>-0.48</v>
      </c>
      <c r="H172">
        <v>73</v>
      </c>
      <c r="I172">
        <v>23.77</v>
      </c>
      <c r="J172">
        <v>4212729247</v>
      </c>
      <c r="K172">
        <v>827200000</v>
      </c>
      <c r="L172">
        <v>1.2270989999999999</v>
      </c>
      <c r="M172">
        <v>0.64</v>
      </c>
      <c r="N172" t="s">
        <v>539</v>
      </c>
      <c r="O172">
        <v>4.2</v>
      </c>
      <c r="P172">
        <v>0.8</v>
      </c>
    </row>
    <row r="173" spans="1:16" x14ac:dyDescent="0.45">
      <c r="A173" t="s">
        <v>540</v>
      </c>
      <c r="B173" t="s">
        <v>541</v>
      </c>
      <c r="C173" t="s">
        <v>156</v>
      </c>
      <c r="D173">
        <v>101.04</v>
      </c>
      <c r="E173">
        <v>246.44</v>
      </c>
      <c r="F173">
        <v>0.63339007000000003</v>
      </c>
      <c r="G173">
        <v>-1.98</v>
      </c>
      <c r="H173">
        <v>119</v>
      </c>
      <c r="I173">
        <v>81.99</v>
      </c>
      <c r="J173">
        <v>61164030149</v>
      </c>
      <c r="K173">
        <v>3692749000</v>
      </c>
      <c r="L173">
        <v>8.0230200000000007</v>
      </c>
      <c r="M173">
        <v>4.55</v>
      </c>
      <c r="N173" t="s">
        <v>542</v>
      </c>
      <c r="O173">
        <v>61.2</v>
      </c>
      <c r="P173">
        <v>3.7</v>
      </c>
    </row>
    <row r="174" spans="1:16" x14ac:dyDescent="0.45">
      <c r="A174" t="s">
        <v>543</v>
      </c>
      <c r="B174" t="s">
        <v>544</v>
      </c>
      <c r="C174" t="s">
        <v>156</v>
      </c>
      <c r="D174">
        <v>46.25</v>
      </c>
      <c r="E174">
        <v>53.16</v>
      </c>
      <c r="F174">
        <v>0.25183630000000001</v>
      </c>
      <c r="G174">
        <v>-2.69</v>
      </c>
      <c r="H174">
        <v>67.84</v>
      </c>
      <c r="I174">
        <v>47.13</v>
      </c>
      <c r="J174">
        <v>12638828950</v>
      </c>
      <c r="K174">
        <v>1518305000</v>
      </c>
      <c r="L174">
        <v>6.4987307000000003</v>
      </c>
      <c r="M174">
        <v>2.15</v>
      </c>
      <c r="N174" t="s">
        <v>545</v>
      </c>
      <c r="O174">
        <v>12.6</v>
      </c>
      <c r="P174">
        <v>1.5</v>
      </c>
    </row>
    <row r="175" spans="1:16" x14ac:dyDescent="0.45">
      <c r="A175" t="s">
        <v>546</v>
      </c>
      <c r="B175" t="s">
        <v>547</v>
      </c>
      <c r="C175" t="s">
        <v>18</v>
      </c>
      <c r="D175">
        <v>114</v>
      </c>
      <c r="E175">
        <v>19.03</v>
      </c>
      <c r="F175">
        <v>1.3265305999999999</v>
      </c>
      <c r="G175">
        <v>4.04</v>
      </c>
      <c r="H175">
        <v>147.02000000000001</v>
      </c>
      <c r="I175">
        <v>90.72</v>
      </c>
      <c r="J175">
        <v>14121334618</v>
      </c>
      <c r="K175">
        <v>1141200000</v>
      </c>
      <c r="L175">
        <v>5.6338058000000002</v>
      </c>
      <c r="M175">
        <v>4.59</v>
      </c>
      <c r="N175" t="s">
        <v>548</v>
      </c>
      <c r="O175">
        <v>14.1</v>
      </c>
      <c r="P175">
        <v>1.1000000000000001</v>
      </c>
    </row>
    <row r="176" spans="1:16" x14ac:dyDescent="0.45">
      <c r="A176" t="s">
        <v>549</v>
      </c>
      <c r="B176" t="s">
        <v>550</v>
      </c>
      <c r="C176" t="s">
        <v>82</v>
      </c>
      <c r="D176">
        <v>409.98</v>
      </c>
      <c r="E176">
        <v>23.06</v>
      </c>
      <c r="F176">
        <v>1.8775816999999999</v>
      </c>
      <c r="G176">
        <v>1.77</v>
      </c>
      <c r="H176">
        <v>495.34500000000003</v>
      </c>
      <c r="I176">
        <v>361.9</v>
      </c>
      <c r="J176">
        <v>33333813618</v>
      </c>
      <c r="K176">
        <v>1687152000</v>
      </c>
      <c r="L176">
        <v>10.639136000000001</v>
      </c>
      <c r="M176">
        <v>5.14</v>
      </c>
      <c r="N176" t="s">
        <v>551</v>
      </c>
      <c r="O176">
        <v>33.299999999999997</v>
      </c>
      <c r="P176">
        <v>1.7</v>
      </c>
    </row>
    <row r="177" spans="1:16" x14ac:dyDescent="0.45">
      <c r="A177" t="s">
        <v>552</v>
      </c>
      <c r="B177" t="s">
        <v>553</v>
      </c>
      <c r="C177" t="s">
        <v>82</v>
      </c>
      <c r="D177">
        <v>55.26</v>
      </c>
      <c r="E177">
        <v>17.600000000000001</v>
      </c>
      <c r="F177">
        <v>3.5437918000000002</v>
      </c>
      <c r="G177">
        <v>1.63</v>
      </c>
      <c r="H177">
        <v>70.454999999999998</v>
      </c>
      <c r="I177">
        <v>56.07</v>
      </c>
      <c r="J177">
        <v>20925508143</v>
      </c>
      <c r="K177">
        <v>1710686000</v>
      </c>
      <c r="L177">
        <v>8.5936190000000003</v>
      </c>
      <c r="M177">
        <v>2.09</v>
      </c>
      <c r="N177" t="s">
        <v>554</v>
      </c>
      <c r="O177">
        <v>20.9</v>
      </c>
      <c r="P177">
        <v>1.7</v>
      </c>
    </row>
    <row r="178" spans="1:16" x14ac:dyDescent="0.45">
      <c r="A178" t="s">
        <v>555</v>
      </c>
      <c r="B178" t="s">
        <v>556</v>
      </c>
      <c r="C178" t="s">
        <v>82</v>
      </c>
      <c r="D178">
        <v>218.28</v>
      </c>
      <c r="E178">
        <v>18.66</v>
      </c>
      <c r="F178">
        <v>3.2138102000000002</v>
      </c>
      <c r="G178">
        <v>6.27</v>
      </c>
      <c r="H178">
        <v>270.04000000000002</v>
      </c>
      <c r="I178">
        <v>214.03</v>
      </c>
      <c r="J178">
        <v>14383525286</v>
      </c>
      <c r="K178">
        <v>1237886000</v>
      </c>
      <c r="L178">
        <v>14.1830845</v>
      </c>
      <c r="M178">
        <v>2.2999999999999998</v>
      </c>
      <c r="N178" t="s">
        <v>557</v>
      </c>
      <c r="O178">
        <v>14.4</v>
      </c>
      <c r="P178">
        <v>1.2</v>
      </c>
    </row>
    <row r="179" spans="1:16" x14ac:dyDescent="0.45">
      <c r="A179" t="s">
        <v>558</v>
      </c>
      <c r="B179" t="s">
        <v>559</v>
      </c>
      <c r="C179" t="s">
        <v>113</v>
      </c>
      <c r="D179">
        <v>131.46</v>
      </c>
      <c r="E179">
        <v>37.78</v>
      </c>
      <c r="F179">
        <v>1.1283498000000001</v>
      </c>
      <c r="G179">
        <v>3.35</v>
      </c>
      <c r="H179">
        <v>138.74</v>
      </c>
      <c r="I179">
        <v>81.69</v>
      </c>
      <c r="J179">
        <v>49543264457</v>
      </c>
      <c r="K179">
        <v>2478000000</v>
      </c>
      <c r="L179">
        <v>3.9522583</v>
      </c>
      <c r="M179">
        <v>10.82</v>
      </c>
      <c r="N179" t="s">
        <v>560</v>
      </c>
      <c r="O179">
        <v>49.5</v>
      </c>
      <c r="P179">
        <v>2.5</v>
      </c>
    </row>
    <row r="180" spans="1:16" x14ac:dyDescent="0.45">
      <c r="A180" t="s">
        <v>561</v>
      </c>
      <c r="B180" t="s">
        <v>562</v>
      </c>
      <c r="C180" t="s">
        <v>59</v>
      </c>
      <c r="D180">
        <v>241.06</v>
      </c>
      <c r="E180">
        <v>27.24</v>
      </c>
      <c r="F180">
        <v>2.1078234</v>
      </c>
      <c r="G180">
        <v>23.71</v>
      </c>
      <c r="H180">
        <v>277.17</v>
      </c>
      <c r="I180">
        <v>208.81</v>
      </c>
      <c r="J180">
        <v>10131892523</v>
      </c>
      <c r="K180">
        <v>0</v>
      </c>
      <c r="L180">
        <v>2.0991987999999999</v>
      </c>
      <c r="M180">
        <v>1.1599999999999999</v>
      </c>
      <c r="N180" t="s">
        <v>563</v>
      </c>
      <c r="O180">
        <v>10.1</v>
      </c>
      <c r="P180">
        <v>0</v>
      </c>
    </row>
    <row r="181" spans="1:16" x14ac:dyDescent="0.45">
      <c r="A181" t="s">
        <v>564</v>
      </c>
      <c r="B181" t="s">
        <v>565</v>
      </c>
      <c r="C181" t="s">
        <v>52</v>
      </c>
      <c r="D181">
        <v>56.11</v>
      </c>
      <c r="E181">
        <v>18.22</v>
      </c>
      <c r="F181">
        <v>3.3397784000000001</v>
      </c>
      <c r="G181">
        <v>2.96</v>
      </c>
      <c r="H181">
        <v>66.150000000000006</v>
      </c>
      <c r="I181">
        <v>55.2</v>
      </c>
      <c r="J181">
        <v>18027633617</v>
      </c>
      <c r="K181">
        <v>2738713000</v>
      </c>
      <c r="L181">
        <v>3.1134192999999999</v>
      </c>
      <c r="M181">
        <v>1.68</v>
      </c>
      <c r="N181" t="s">
        <v>566</v>
      </c>
      <c r="O181">
        <v>18</v>
      </c>
      <c r="P181">
        <v>2.7</v>
      </c>
    </row>
    <row r="182" spans="1:16" x14ac:dyDescent="0.45">
      <c r="A182" t="s">
        <v>567</v>
      </c>
      <c r="B182" t="s">
        <v>568</v>
      </c>
      <c r="C182" t="s">
        <v>52</v>
      </c>
      <c r="D182">
        <v>35.979999999999997</v>
      </c>
      <c r="E182">
        <v>14.51</v>
      </c>
      <c r="F182">
        <v>3.8174274000000001</v>
      </c>
      <c r="G182">
        <v>1.23</v>
      </c>
      <c r="H182">
        <v>42.67</v>
      </c>
      <c r="I182">
        <v>33.299999999999997</v>
      </c>
      <c r="J182">
        <v>34734816899</v>
      </c>
      <c r="K182">
        <v>8548000000</v>
      </c>
      <c r="L182">
        <v>1.3933871</v>
      </c>
      <c r="M182">
        <v>1.26</v>
      </c>
      <c r="N182" t="s">
        <v>569</v>
      </c>
      <c r="O182">
        <v>34.700000000000003</v>
      </c>
      <c r="P182">
        <v>8.5</v>
      </c>
    </row>
    <row r="183" spans="1:16" x14ac:dyDescent="0.45">
      <c r="A183" t="s">
        <v>570</v>
      </c>
      <c r="B183" t="s">
        <v>571</v>
      </c>
      <c r="C183" t="s">
        <v>45</v>
      </c>
      <c r="D183">
        <v>123.03</v>
      </c>
      <c r="E183">
        <v>30.99</v>
      </c>
      <c r="F183">
        <v>0.92785894999999996</v>
      </c>
      <c r="G183">
        <v>1.81</v>
      </c>
      <c r="H183">
        <v>161</v>
      </c>
      <c r="I183">
        <v>115.55</v>
      </c>
      <c r="J183">
        <v>19722178609</v>
      </c>
      <c r="K183">
        <v>1481458000</v>
      </c>
      <c r="L183">
        <v>2.5074896999999998</v>
      </c>
      <c r="M183">
        <v>4.1399999999999997</v>
      </c>
      <c r="N183" t="s">
        <v>572</v>
      </c>
      <c r="O183">
        <v>19.7</v>
      </c>
      <c r="P183">
        <v>1.5</v>
      </c>
    </row>
    <row r="184" spans="1:16" x14ac:dyDescent="0.45">
      <c r="A184" t="s">
        <v>573</v>
      </c>
      <c r="B184" t="s">
        <v>574</v>
      </c>
      <c r="C184" t="s">
        <v>18</v>
      </c>
      <c r="D184">
        <v>60.36</v>
      </c>
      <c r="E184">
        <v>25.26</v>
      </c>
      <c r="F184">
        <v>1.3520038000000001</v>
      </c>
      <c r="G184">
        <v>2.36</v>
      </c>
      <c r="H184">
        <v>67.540000000000006</v>
      </c>
      <c r="I184">
        <v>51.96</v>
      </c>
      <c r="J184">
        <v>11040678071</v>
      </c>
      <c r="K184">
        <v>721643000</v>
      </c>
      <c r="L184">
        <v>2.1903190000000001</v>
      </c>
      <c r="M184">
        <v>5.55</v>
      </c>
      <c r="N184" t="s">
        <v>575</v>
      </c>
      <c r="O184">
        <v>11</v>
      </c>
      <c r="P184">
        <v>0.7</v>
      </c>
    </row>
    <row r="185" spans="1:16" x14ac:dyDescent="0.45">
      <c r="A185" t="s">
        <v>576</v>
      </c>
      <c r="B185" t="s">
        <v>577</v>
      </c>
      <c r="C185" t="s">
        <v>25</v>
      </c>
      <c r="D185">
        <v>73.349999999999994</v>
      </c>
      <c r="E185">
        <v>10.72</v>
      </c>
      <c r="F185">
        <v>0</v>
      </c>
      <c r="G185">
        <v>5.39</v>
      </c>
      <c r="H185">
        <v>83.484999999999999</v>
      </c>
      <c r="I185">
        <v>55.8</v>
      </c>
      <c r="J185">
        <v>42449656350</v>
      </c>
      <c r="K185">
        <v>7309300000</v>
      </c>
      <c r="L185">
        <v>0.57588415999999998</v>
      </c>
      <c r="M185">
        <v>2.65</v>
      </c>
      <c r="N185" t="s">
        <v>578</v>
      </c>
      <c r="O185">
        <v>42.4</v>
      </c>
      <c r="P185">
        <v>7.3</v>
      </c>
    </row>
    <row r="186" spans="1:16" x14ac:dyDescent="0.45">
      <c r="A186" t="s">
        <v>579</v>
      </c>
      <c r="B186" t="s">
        <v>580</v>
      </c>
      <c r="C186" t="s">
        <v>82</v>
      </c>
      <c r="D186">
        <v>77.56</v>
      </c>
      <c r="E186">
        <v>18.12</v>
      </c>
      <c r="F186">
        <v>3.879632</v>
      </c>
      <c r="G186">
        <v>2.92</v>
      </c>
      <c r="H186">
        <v>88.56</v>
      </c>
      <c r="I186">
        <v>71.34</v>
      </c>
      <c r="J186">
        <v>10133547517</v>
      </c>
      <c r="K186">
        <v>717468000</v>
      </c>
      <c r="L186">
        <v>12.204818</v>
      </c>
      <c r="M186">
        <v>4.54</v>
      </c>
      <c r="N186" t="s">
        <v>581</v>
      </c>
      <c r="O186">
        <v>10.1</v>
      </c>
      <c r="P186">
        <v>0.7</v>
      </c>
    </row>
    <row r="187" spans="1:16" x14ac:dyDescent="0.45">
      <c r="A187" t="s">
        <v>582</v>
      </c>
      <c r="B187" t="s">
        <v>583</v>
      </c>
      <c r="C187" t="s">
        <v>156</v>
      </c>
      <c r="D187">
        <v>76.069999999999993</v>
      </c>
      <c r="E187">
        <v>21.37</v>
      </c>
      <c r="F187">
        <v>4.0031195000000004</v>
      </c>
      <c r="G187">
        <v>1.88</v>
      </c>
      <c r="H187">
        <v>89.3</v>
      </c>
      <c r="I187">
        <v>76.05</v>
      </c>
      <c r="J187">
        <v>326148660000</v>
      </c>
      <c r="K187">
        <v>39052000000</v>
      </c>
      <c r="L187">
        <v>1.7701944000000001</v>
      </c>
      <c r="M187">
        <v>1.85</v>
      </c>
      <c r="N187" t="s">
        <v>584</v>
      </c>
      <c r="O187">
        <v>326.10000000000002</v>
      </c>
      <c r="P187">
        <v>39.1</v>
      </c>
    </row>
    <row r="188" spans="1:16" x14ac:dyDescent="0.45">
      <c r="A188" t="s">
        <v>585</v>
      </c>
      <c r="B188" t="s">
        <v>586</v>
      </c>
      <c r="C188" t="s">
        <v>32</v>
      </c>
      <c r="D188">
        <v>137.25</v>
      </c>
      <c r="E188">
        <v>21.21</v>
      </c>
      <c r="F188">
        <v>0</v>
      </c>
      <c r="G188">
        <v>6.51</v>
      </c>
      <c r="H188">
        <v>149.5</v>
      </c>
      <c r="I188">
        <v>114.63</v>
      </c>
      <c r="J188">
        <v>8744185796</v>
      </c>
      <c r="K188">
        <v>629940000</v>
      </c>
      <c r="L188">
        <v>4.1203604</v>
      </c>
      <c r="M188">
        <v>6.86</v>
      </c>
      <c r="N188" t="s">
        <v>587</v>
      </c>
      <c r="O188">
        <v>8.6999999999999993</v>
      </c>
      <c r="P188">
        <v>0.6</v>
      </c>
    </row>
    <row r="189" spans="1:16" x14ac:dyDescent="0.45">
      <c r="A189" t="s">
        <v>588</v>
      </c>
      <c r="B189" t="s">
        <v>589</v>
      </c>
      <c r="C189" t="s">
        <v>32</v>
      </c>
      <c r="D189">
        <v>171.58</v>
      </c>
      <c r="E189">
        <v>27.9</v>
      </c>
      <c r="F189">
        <v>0</v>
      </c>
      <c r="G189">
        <v>5.39</v>
      </c>
      <c r="H189">
        <v>195.32</v>
      </c>
      <c r="I189">
        <v>132.44</v>
      </c>
      <c r="J189">
        <v>523423036576</v>
      </c>
      <c r="K189">
        <v>23624000000</v>
      </c>
      <c r="L189">
        <v>13.241967000000001</v>
      </c>
      <c r="M189">
        <v>7.08</v>
      </c>
      <c r="N189" t="s">
        <v>590</v>
      </c>
      <c r="O189">
        <v>523.4</v>
      </c>
      <c r="P189">
        <v>23.6</v>
      </c>
    </row>
    <row r="190" spans="1:16" x14ac:dyDescent="0.45">
      <c r="A190" t="s">
        <v>591</v>
      </c>
      <c r="B190" t="s">
        <v>592</v>
      </c>
      <c r="C190" t="s">
        <v>18</v>
      </c>
      <c r="D190">
        <v>52.15</v>
      </c>
      <c r="E190">
        <v>27.02</v>
      </c>
      <c r="F190">
        <v>2.7798647999999999</v>
      </c>
      <c r="G190">
        <v>2.0099999999999998</v>
      </c>
      <c r="H190">
        <v>57.814999999999998</v>
      </c>
      <c r="I190">
        <v>39.79</v>
      </c>
      <c r="J190">
        <v>15311373377</v>
      </c>
      <c r="K190">
        <v>1009600000</v>
      </c>
      <c r="L190">
        <v>3.4729770000000002</v>
      </c>
      <c r="M190">
        <v>7.39</v>
      </c>
      <c r="N190" t="s">
        <v>593</v>
      </c>
      <c r="O190">
        <v>15.3</v>
      </c>
      <c r="P190">
        <v>1</v>
      </c>
    </row>
    <row r="191" spans="1:16" x14ac:dyDescent="0.45">
      <c r="A191" t="s">
        <v>594</v>
      </c>
      <c r="B191" t="s">
        <v>595</v>
      </c>
      <c r="C191" t="s">
        <v>82</v>
      </c>
      <c r="D191">
        <v>108.11</v>
      </c>
      <c r="E191">
        <v>18.350000000000001</v>
      </c>
      <c r="F191">
        <v>3.5925992</v>
      </c>
      <c r="G191">
        <v>3.5</v>
      </c>
      <c r="H191">
        <v>143.79</v>
      </c>
      <c r="I191">
        <v>109.74</v>
      </c>
      <c r="J191">
        <v>8077368506</v>
      </c>
      <c r="K191">
        <v>540767000</v>
      </c>
      <c r="L191">
        <v>12.898600999999999</v>
      </c>
      <c r="M191">
        <v>3.98</v>
      </c>
      <c r="N191" t="s">
        <v>596</v>
      </c>
      <c r="O191">
        <v>8.1</v>
      </c>
      <c r="P191">
        <v>0.5</v>
      </c>
    </row>
    <row r="192" spans="1:16" x14ac:dyDescent="0.45">
      <c r="A192" t="s">
        <v>597</v>
      </c>
      <c r="B192" t="s">
        <v>598</v>
      </c>
      <c r="C192" t="s">
        <v>18</v>
      </c>
      <c r="D192">
        <v>239.27</v>
      </c>
      <c r="E192">
        <v>19.45</v>
      </c>
      <c r="F192">
        <v>0.79633679999999996</v>
      </c>
      <c r="G192">
        <v>11.07</v>
      </c>
      <c r="H192">
        <v>274.66000000000003</v>
      </c>
      <c r="I192">
        <v>182.89</v>
      </c>
      <c r="J192">
        <v>67280478816</v>
      </c>
      <c r="K192">
        <v>8062000000</v>
      </c>
      <c r="L192">
        <v>1.0751683999999999</v>
      </c>
      <c r="M192">
        <v>3.9</v>
      </c>
      <c r="N192" t="s">
        <v>599</v>
      </c>
      <c r="O192">
        <v>67.3</v>
      </c>
      <c r="P192">
        <v>8.1</v>
      </c>
    </row>
    <row r="193" spans="1:16" x14ac:dyDescent="0.45">
      <c r="A193" t="s">
        <v>600</v>
      </c>
      <c r="B193" t="s">
        <v>601</v>
      </c>
      <c r="C193" t="s">
        <v>32</v>
      </c>
      <c r="D193">
        <v>92.74</v>
      </c>
      <c r="E193">
        <v>22.08</v>
      </c>
      <c r="F193">
        <v>1.322724</v>
      </c>
      <c r="G193">
        <v>1.72</v>
      </c>
      <c r="H193">
        <v>103.65</v>
      </c>
      <c r="I193">
        <v>77.63</v>
      </c>
      <c r="J193">
        <v>32308459680</v>
      </c>
      <c r="K193">
        <v>2782000000</v>
      </c>
      <c r="L193">
        <v>4.7038416999999999</v>
      </c>
      <c r="M193">
        <v>3.25</v>
      </c>
      <c r="N193" t="s">
        <v>602</v>
      </c>
      <c r="O193">
        <v>32.299999999999997</v>
      </c>
      <c r="P193">
        <v>2.8</v>
      </c>
    </row>
    <row r="194" spans="1:16" x14ac:dyDescent="0.45">
      <c r="A194" t="s">
        <v>603</v>
      </c>
      <c r="B194" t="s">
        <v>604</v>
      </c>
      <c r="C194" t="s">
        <v>59</v>
      </c>
      <c r="D194">
        <v>31.1</v>
      </c>
      <c r="E194">
        <v>16.899999999999999</v>
      </c>
      <c r="F194">
        <v>1.9789734000000001</v>
      </c>
      <c r="G194">
        <v>2.85</v>
      </c>
      <c r="H194">
        <v>33.909999999999997</v>
      </c>
      <c r="I194">
        <v>23.2</v>
      </c>
      <c r="J194">
        <v>22437653700</v>
      </c>
      <c r="K194">
        <v>0</v>
      </c>
      <c r="L194">
        <v>2.8802848000000001</v>
      </c>
      <c r="M194">
        <v>1.46</v>
      </c>
      <c r="N194" t="s">
        <v>605</v>
      </c>
      <c r="O194">
        <v>22.4</v>
      </c>
      <c r="P194">
        <v>0</v>
      </c>
    </row>
    <row r="195" spans="1:16" x14ac:dyDescent="0.45">
      <c r="A195" t="s">
        <v>606</v>
      </c>
      <c r="B195" t="s">
        <v>607</v>
      </c>
      <c r="C195" t="s">
        <v>52</v>
      </c>
      <c r="D195">
        <v>30.64</v>
      </c>
      <c r="E195">
        <v>11.18</v>
      </c>
      <c r="F195">
        <v>4.673807</v>
      </c>
      <c r="G195">
        <v>-14.49</v>
      </c>
      <c r="H195">
        <v>35.22</v>
      </c>
      <c r="I195">
        <v>27.93</v>
      </c>
      <c r="J195">
        <v>13706075072</v>
      </c>
      <c r="K195">
        <v>-5067000000</v>
      </c>
      <c r="L195">
        <v>1.2994481</v>
      </c>
      <c r="M195">
        <v>2.19</v>
      </c>
      <c r="N195" t="s">
        <v>608</v>
      </c>
      <c r="O195">
        <v>13.7</v>
      </c>
      <c r="P195">
        <v>-5.0999999999999996</v>
      </c>
    </row>
    <row r="196" spans="1:16" x14ac:dyDescent="0.45">
      <c r="A196" t="s">
        <v>609</v>
      </c>
      <c r="B196" t="s">
        <v>610</v>
      </c>
      <c r="C196" t="s">
        <v>32</v>
      </c>
      <c r="D196">
        <v>133.05000000000001</v>
      </c>
      <c r="E196">
        <v>27.32</v>
      </c>
      <c r="F196">
        <v>0</v>
      </c>
      <c r="G196">
        <v>4.1399999999999997</v>
      </c>
      <c r="H196">
        <v>144.19999999999999</v>
      </c>
      <c r="I196">
        <v>106.2</v>
      </c>
      <c r="J196">
        <v>26918949723</v>
      </c>
      <c r="K196">
        <v>1911000000</v>
      </c>
      <c r="L196">
        <v>6.518713</v>
      </c>
      <c r="M196">
        <v>11.54</v>
      </c>
      <c r="N196" t="s">
        <v>611</v>
      </c>
      <c r="O196">
        <v>26.9</v>
      </c>
      <c r="P196">
        <v>1.9</v>
      </c>
    </row>
    <row r="197" spans="1:16" x14ac:dyDescent="0.45">
      <c r="A197" t="s">
        <v>612</v>
      </c>
      <c r="B197" t="s">
        <v>613</v>
      </c>
      <c r="C197" t="s">
        <v>32</v>
      </c>
      <c r="D197">
        <v>46.46</v>
      </c>
      <c r="E197">
        <v>25.53</v>
      </c>
      <c r="F197">
        <v>1.2396693999999999</v>
      </c>
      <c r="G197">
        <v>1.21</v>
      </c>
      <c r="H197">
        <v>52.88</v>
      </c>
      <c r="I197">
        <v>33.75</v>
      </c>
      <c r="J197">
        <v>6706992926</v>
      </c>
      <c r="K197">
        <v>375267000</v>
      </c>
      <c r="L197">
        <v>5.1379609999999998</v>
      </c>
      <c r="M197">
        <v>3.52</v>
      </c>
      <c r="N197" t="s">
        <v>614</v>
      </c>
      <c r="O197">
        <v>6.7</v>
      </c>
      <c r="P197">
        <v>0.4</v>
      </c>
    </row>
    <row r="198" spans="1:16" x14ac:dyDescent="0.45">
      <c r="A198" t="s">
        <v>615</v>
      </c>
      <c r="B198" t="s">
        <v>616</v>
      </c>
      <c r="C198" t="s">
        <v>18</v>
      </c>
      <c r="D198">
        <v>40.82</v>
      </c>
      <c r="E198">
        <v>26.17</v>
      </c>
      <c r="F198">
        <v>1.8291215999999999</v>
      </c>
      <c r="G198">
        <v>1.1200000000000001</v>
      </c>
      <c r="H198">
        <v>51.92</v>
      </c>
      <c r="I198">
        <v>37.51</v>
      </c>
      <c r="J198">
        <v>5427884956</v>
      </c>
      <c r="K198">
        <v>463066000</v>
      </c>
      <c r="L198">
        <v>2.0803037</v>
      </c>
      <c r="M198">
        <v>3.15</v>
      </c>
      <c r="N198" t="s">
        <v>617</v>
      </c>
      <c r="O198">
        <v>5.4</v>
      </c>
      <c r="P198">
        <v>0.5</v>
      </c>
    </row>
    <row r="199" spans="1:16" x14ac:dyDescent="0.45">
      <c r="A199" t="s">
        <v>618</v>
      </c>
      <c r="B199" t="s">
        <v>619</v>
      </c>
      <c r="C199" t="s">
        <v>18</v>
      </c>
      <c r="D199">
        <v>55.31</v>
      </c>
      <c r="E199">
        <v>19.899999999999999</v>
      </c>
      <c r="F199">
        <v>1.4726508</v>
      </c>
      <c r="G199">
        <v>1.99</v>
      </c>
      <c r="H199">
        <v>62.09</v>
      </c>
      <c r="I199">
        <v>37.0351</v>
      </c>
      <c r="J199">
        <v>7978485059</v>
      </c>
      <c r="K199">
        <v>709756000</v>
      </c>
      <c r="L199">
        <v>0.55164020000000002</v>
      </c>
      <c r="M199">
        <v>2.4</v>
      </c>
      <c r="N199" t="s">
        <v>620</v>
      </c>
      <c r="O199">
        <v>8</v>
      </c>
      <c r="P199">
        <v>0.7</v>
      </c>
    </row>
    <row r="200" spans="1:16" x14ac:dyDescent="0.45">
      <c r="A200" t="s">
        <v>621</v>
      </c>
      <c r="B200" t="s">
        <v>622</v>
      </c>
      <c r="C200" t="s">
        <v>69</v>
      </c>
      <c r="D200">
        <v>80.87</v>
      </c>
      <c r="E200">
        <v>32.479999999999997</v>
      </c>
      <c r="F200">
        <v>0.785995</v>
      </c>
      <c r="G200">
        <v>1.56</v>
      </c>
      <c r="H200">
        <v>98.7</v>
      </c>
      <c r="I200">
        <v>56.53</v>
      </c>
      <c r="J200">
        <v>11273961835</v>
      </c>
      <c r="K200">
        <v>557800000</v>
      </c>
      <c r="L200">
        <v>6.0089034999999997</v>
      </c>
      <c r="M200">
        <v>5.26</v>
      </c>
      <c r="N200" t="s">
        <v>623</v>
      </c>
      <c r="O200">
        <v>11.3</v>
      </c>
      <c r="P200">
        <v>0.6</v>
      </c>
    </row>
    <row r="201" spans="1:16" x14ac:dyDescent="0.45">
      <c r="A201" t="s">
        <v>624</v>
      </c>
      <c r="B201" t="s">
        <v>625</v>
      </c>
      <c r="C201" t="s">
        <v>45</v>
      </c>
      <c r="D201">
        <v>45.88</v>
      </c>
      <c r="E201">
        <v>9.5</v>
      </c>
      <c r="F201">
        <v>2.5827950999999998</v>
      </c>
      <c r="G201">
        <v>4.91</v>
      </c>
      <c r="H201">
        <v>77.86</v>
      </c>
      <c r="I201">
        <v>28.42</v>
      </c>
      <c r="J201">
        <v>5819080328</v>
      </c>
      <c r="K201">
        <v>957000000</v>
      </c>
      <c r="L201">
        <v>1.0362948000000001</v>
      </c>
      <c r="N201" t="s">
        <v>626</v>
      </c>
      <c r="O201">
        <v>5.8</v>
      </c>
      <c r="P201">
        <v>1</v>
      </c>
    </row>
    <row r="202" spans="1:16" x14ac:dyDescent="0.45">
      <c r="A202" t="s">
        <v>627</v>
      </c>
      <c r="B202" t="s">
        <v>628</v>
      </c>
      <c r="C202" t="s">
        <v>45</v>
      </c>
      <c r="D202">
        <v>10.43</v>
      </c>
      <c r="E202">
        <v>5.89</v>
      </c>
      <c r="F202">
        <v>6.7843866000000004</v>
      </c>
      <c r="G202">
        <v>1.9</v>
      </c>
      <c r="H202">
        <v>13.48</v>
      </c>
      <c r="I202">
        <v>10.19</v>
      </c>
      <c r="J202">
        <v>42414328338</v>
      </c>
      <c r="K202">
        <v>9281000000</v>
      </c>
      <c r="L202">
        <v>0.27054095</v>
      </c>
      <c r="M202">
        <v>1.26</v>
      </c>
      <c r="N202" t="s">
        <v>629</v>
      </c>
      <c r="O202">
        <v>42.4</v>
      </c>
      <c r="P202">
        <v>9.3000000000000007</v>
      </c>
    </row>
    <row r="203" spans="1:16" x14ac:dyDescent="0.45">
      <c r="A203" t="s">
        <v>630</v>
      </c>
      <c r="B203" t="s">
        <v>631</v>
      </c>
      <c r="C203" t="s">
        <v>18</v>
      </c>
      <c r="D203">
        <v>69.14</v>
      </c>
      <c r="E203">
        <v>25.05</v>
      </c>
      <c r="F203">
        <v>0.39057051999999998</v>
      </c>
      <c r="G203">
        <v>2.46</v>
      </c>
      <c r="H203">
        <v>76.680000000000007</v>
      </c>
      <c r="I203">
        <v>54.884399999999999</v>
      </c>
      <c r="J203">
        <v>24916503061</v>
      </c>
      <c r="K203">
        <v>1508300000</v>
      </c>
      <c r="L203">
        <v>5.1682673000000001</v>
      </c>
      <c r="M203">
        <v>7.17</v>
      </c>
      <c r="N203" t="s">
        <v>632</v>
      </c>
      <c r="O203">
        <v>24.9</v>
      </c>
      <c r="P203">
        <v>1.5</v>
      </c>
    </row>
    <row r="204" spans="1:16" x14ac:dyDescent="0.45">
      <c r="A204" t="s">
        <v>633</v>
      </c>
      <c r="B204" t="s">
        <v>634</v>
      </c>
      <c r="C204" t="s">
        <v>18</v>
      </c>
      <c r="D204">
        <v>62.44</v>
      </c>
      <c r="E204">
        <v>20.27</v>
      </c>
      <c r="F204">
        <v>1.2618296</v>
      </c>
      <c r="G204">
        <v>3.04</v>
      </c>
      <c r="H204">
        <v>73.62</v>
      </c>
      <c r="I204">
        <v>55.25</v>
      </c>
      <c r="J204">
        <v>9624169008</v>
      </c>
      <c r="K204">
        <v>814500000</v>
      </c>
      <c r="L204">
        <v>1.8434572</v>
      </c>
      <c r="M204">
        <v>3.76</v>
      </c>
      <c r="N204" t="s">
        <v>635</v>
      </c>
      <c r="O204">
        <v>9.6</v>
      </c>
      <c r="P204">
        <v>0.8</v>
      </c>
    </row>
    <row r="205" spans="1:16" x14ac:dyDescent="0.45">
      <c r="A205" t="s">
        <v>636</v>
      </c>
      <c r="B205" t="s">
        <v>637</v>
      </c>
      <c r="C205" t="s">
        <v>59</v>
      </c>
      <c r="D205">
        <v>38</v>
      </c>
      <c r="E205">
        <v>12.67</v>
      </c>
      <c r="F205">
        <v>2.3326570000000002</v>
      </c>
      <c r="G205">
        <v>3</v>
      </c>
      <c r="H205">
        <v>47.65</v>
      </c>
      <c r="I205">
        <v>37.01</v>
      </c>
      <c r="J205">
        <v>21759187973</v>
      </c>
      <c r="K205">
        <v>2711300000</v>
      </c>
      <c r="L205">
        <v>3.3991009999999999</v>
      </c>
      <c r="M205">
        <v>1.83</v>
      </c>
      <c r="N205" t="s">
        <v>638</v>
      </c>
      <c r="O205">
        <v>21.8</v>
      </c>
      <c r="P205">
        <v>2.7</v>
      </c>
    </row>
    <row r="206" spans="1:16" x14ac:dyDescent="0.45">
      <c r="A206" t="s">
        <v>639</v>
      </c>
      <c r="B206" t="s">
        <v>640</v>
      </c>
      <c r="C206" t="s">
        <v>69</v>
      </c>
      <c r="D206">
        <v>17.16</v>
      </c>
      <c r="E206">
        <v>14.67</v>
      </c>
      <c r="F206">
        <v>1.1198208000000001</v>
      </c>
      <c r="G206">
        <v>1.24</v>
      </c>
      <c r="H206">
        <v>20.25</v>
      </c>
      <c r="I206">
        <v>11.05</v>
      </c>
      <c r="J206">
        <v>25853969330</v>
      </c>
      <c r="K206">
        <v>5347000000</v>
      </c>
      <c r="L206">
        <v>1.6538345000000001</v>
      </c>
      <c r="M206">
        <v>3.66</v>
      </c>
      <c r="N206" t="s">
        <v>641</v>
      </c>
      <c r="O206">
        <v>25.9</v>
      </c>
      <c r="P206">
        <v>5.3</v>
      </c>
    </row>
    <row r="207" spans="1:16" x14ac:dyDescent="0.45">
      <c r="A207" t="s">
        <v>642</v>
      </c>
      <c r="B207" t="s">
        <v>643</v>
      </c>
      <c r="C207" t="s">
        <v>45</v>
      </c>
      <c r="D207">
        <v>31.17</v>
      </c>
      <c r="E207">
        <v>15.35</v>
      </c>
      <c r="F207">
        <v>2.8203556999999999</v>
      </c>
      <c r="G207">
        <v>1.69</v>
      </c>
      <c r="H207">
        <v>35.68</v>
      </c>
      <c r="I207">
        <v>21.02</v>
      </c>
      <c r="J207">
        <v>12684517721</v>
      </c>
      <c r="K207">
        <v>1959000000</v>
      </c>
      <c r="L207">
        <v>1.1289738</v>
      </c>
      <c r="M207">
        <v>3.93</v>
      </c>
      <c r="N207" t="s">
        <v>644</v>
      </c>
      <c r="O207">
        <v>12.7</v>
      </c>
      <c r="P207">
        <v>2</v>
      </c>
    </row>
    <row r="208" spans="1:16" x14ac:dyDescent="0.45">
      <c r="A208" t="s">
        <v>645</v>
      </c>
      <c r="B208" t="s">
        <v>646</v>
      </c>
      <c r="C208" t="s">
        <v>45</v>
      </c>
      <c r="D208">
        <v>61.13</v>
      </c>
      <c r="E208">
        <v>21.23</v>
      </c>
      <c r="F208">
        <v>3.2339885000000002</v>
      </c>
      <c r="G208">
        <v>2.69</v>
      </c>
      <c r="H208">
        <v>64.959999999999994</v>
      </c>
      <c r="I208">
        <v>48.5</v>
      </c>
      <c r="J208">
        <v>11840331607</v>
      </c>
      <c r="K208">
        <v>736798000</v>
      </c>
      <c r="L208">
        <v>5.3198809999999996</v>
      </c>
      <c r="M208">
        <v>3.14</v>
      </c>
      <c r="N208" t="s">
        <v>647</v>
      </c>
      <c r="O208">
        <v>11.8</v>
      </c>
      <c r="P208">
        <v>0.7</v>
      </c>
    </row>
    <row r="209" spans="1:16" x14ac:dyDescent="0.45">
      <c r="A209" t="s">
        <v>648</v>
      </c>
      <c r="B209" t="s">
        <v>649</v>
      </c>
      <c r="C209" t="s">
        <v>32</v>
      </c>
      <c r="D209">
        <v>114.26</v>
      </c>
      <c r="E209">
        <v>36.86</v>
      </c>
      <c r="F209">
        <v>0</v>
      </c>
      <c r="G209">
        <v>2.31</v>
      </c>
      <c r="H209">
        <v>142.16</v>
      </c>
      <c r="I209">
        <v>97.96</v>
      </c>
      <c r="J209">
        <v>10828314389</v>
      </c>
      <c r="K209">
        <v>234935000</v>
      </c>
      <c r="L209">
        <v>4.8944989999999997</v>
      </c>
      <c r="M209">
        <v>13.47</v>
      </c>
      <c r="N209" t="s">
        <v>650</v>
      </c>
      <c r="O209">
        <v>10.8</v>
      </c>
      <c r="P209">
        <v>0.2</v>
      </c>
    </row>
    <row r="210" spans="1:16" x14ac:dyDescent="0.45">
      <c r="A210" t="s">
        <v>651</v>
      </c>
      <c r="B210" t="s">
        <v>652</v>
      </c>
      <c r="C210" t="s">
        <v>18</v>
      </c>
      <c r="D210">
        <v>206.05</v>
      </c>
      <c r="E210">
        <v>20.71</v>
      </c>
      <c r="F210">
        <v>1.5631542</v>
      </c>
      <c r="G210">
        <v>9.5500000000000007</v>
      </c>
      <c r="H210">
        <v>229.54</v>
      </c>
      <c r="I210">
        <v>181.94</v>
      </c>
      <c r="J210">
        <v>64180390701</v>
      </c>
      <c r="K210">
        <v>4618000000</v>
      </c>
      <c r="L210">
        <v>2.0481362000000001</v>
      </c>
      <c r="M210">
        <v>5.45</v>
      </c>
      <c r="N210" t="s">
        <v>653</v>
      </c>
      <c r="O210">
        <v>64.2</v>
      </c>
      <c r="P210">
        <v>4.5999999999999996</v>
      </c>
    </row>
    <row r="211" spans="1:16" x14ac:dyDescent="0.45">
      <c r="A211" t="s">
        <v>654</v>
      </c>
      <c r="B211" t="s">
        <v>655</v>
      </c>
      <c r="C211" t="s">
        <v>18</v>
      </c>
      <c r="D211">
        <v>14.45</v>
      </c>
      <c r="E211">
        <v>13.76</v>
      </c>
      <c r="F211">
        <v>3.1475409999999999</v>
      </c>
      <c r="G211">
        <v>-0.72</v>
      </c>
      <c r="H211">
        <v>30.59</v>
      </c>
      <c r="I211">
        <v>14.71</v>
      </c>
      <c r="J211">
        <v>132249296250</v>
      </c>
      <c r="K211">
        <v>-206000000</v>
      </c>
      <c r="L211">
        <v>1.0887610999999999</v>
      </c>
      <c r="M211">
        <v>1.7</v>
      </c>
      <c r="N211" t="s">
        <v>656</v>
      </c>
      <c r="O211">
        <v>132.19999999999999</v>
      </c>
      <c r="P211">
        <v>-0.2</v>
      </c>
    </row>
    <row r="212" spans="1:16" x14ac:dyDescent="0.45">
      <c r="A212" t="s">
        <v>657</v>
      </c>
      <c r="B212" t="s">
        <v>658</v>
      </c>
      <c r="C212" t="s">
        <v>82</v>
      </c>
      <c r="D212">
        <v>21.62</v>
      </c>
      <c r="E212">
        <v>13.86</v>
      </c>
      <c r="F212">
        <v>4.0054619999999996</v>
      </c>
      <c r="G212">
        <v>1.34</v>
      </c>
      <c r="H212">
        <v>25.72</v>
      </c>
      <c r="I212">
        <v>18.829999999999998</v>
      </c>
      <c r="J212">
        <v>21018887283</v>
      </c>
      <c r="K212">
        <v>1740540000</v>
      </c>
      <c r="L212">
        <v>17.003776999999999</v>
      </c>
      <c r="M212">
        <v>2.57</v>
      </c>
      <c r="N212" t="s">
        <v>659</v>
      </c>
      <c r="O212">
        <v>21</v>
      </c>
      <c r="P212">
        <v>1.7</v>
      </c>
    </row>
    <row r="213" spans="1:16" x14ac:dyDescent="0.45">
      <c r="A213" t="s">
        <v>660</v>
      </c>
      <c r="B213" t="s">
        <v>661</v>
      </c>
      <c r="C213" t="s">
        <v>113</v>
      </c>
      <c r="D213">
        <v>53.99</v>
      </c>
      <c r="E213">
        <v>17.53</v>
      </c>
      <c r="F213">
        <v>3.5864593999999999</v>
      </c>
      <c r="G213">
        <v>2.77</v>
      </c>
      <c r="H213">
        <v>63.73</v>
      </c>
      <c r="I213">
        <v>49.65</v>
      </c>
      <c r="J213">
        <v>31098243069</v>
      </c>
      <c r="K213">
        <v>3107600000</v>
      </c>
      <c r="L213">
        <v>2.0389178000000001</v>
      </c>
      <c r="M213">
        <v>7.26</v>
      </c>
      <c r="N213" t="s">
        <v>662</v>
      </c>
      <c r="O213">
        <v>31.1</v>
      </c>
      <c r="P213">
        <v>3.1</v>
      </c>
    </row>
    <row r="214" spans="1:16" x14ac:dyDescent="0.45">
      <c r="A214" t="s">
        <v>663</v>
      </c>
      <c r="B214" t="s">
        <v>664</v>
      </c>
      <c r="C214" t="s">
        <v>45</v>
      </c>
      <c r="D214">
        <v>40.75</v>
      </c>
      <c r="E214">
        <v>6.58</v>
      </c>
      <c r="F214">
        <v>3.5857513000000001</v>
      </c>
      <c r="G214">
        <v>6</v>
      </c>
      <c r="H214">
        <v>46.76</v>
      </c>
      <c r="I214">
        <v>31.92</v>
      </c>
      <c r="J214">
        <v>61536606173</v>
      </c>
      <c r="K214">
        <v>23541000000</v>
      </c>
      <c r="L214">
        <v>0.56332179999999998</v>
      </c>
      <c r="M214">
        <v>1.33</v>
      </c>
      <c r="N214" t="s">
        <v>665</v>
      </c>
      <c r="O214">
        <v>61.5</v>
      </c>
      <c r="P214">
        <v>23.5</v>
      </c>
    </row>
    <row r="215" spans="1:16" x14ac:dyDescent="0.45">
      <c r="A215" t="s">
        <v>666</v>
      </c>
      <c r="B215" t="s">
        <v>667</v>
      </c>
      <c r="C215" t="s">
        <v>45</v>
      </c>
      <c r="D215">
        <v>96.31</v>
      </c>
      <c r="E215">
        <v>21.17</v>
      </c>
      <c r="F215">
        <v>2.7198547999999998</v>
      </c>
      <c r="G215">
        <v>4.5999999999999996</v>
      </c>
      <c r="H215">
        <v>107.75</v>
      </c>
      <c r="I215">
        <v>79.86</v>
      </c>
      <c r="J215">
        <v>14554321748</v>
      </c>
      <c r="K215">
        <v>1201517000</v>
      </c>
      <c r="L215">
        <v>1.2122360000000001</v>
      </c>
      <c r="M215">
        <v>4.33</v>
      </c>
      <c r="N215" t="s">
        <v>668</v>
      </c>
      <c r="O215">
        <v>14.6</v>
      </c>
      <c r="P215">
        <v>1.2</v>
      </c>
    </row>
    <row r="216" spans="1:16" x14ac:dyDescent="0.45">
      <c r="A216" t="s">
        <v>669</v>
      </c>
      <c r="B216" t="s">
        <v>670</v>
      </c>
      <c r="C216" t="s">
        <v>25</v>
      </c>
      <c r="D216">
        <v>78.22</v>
      </c>
      <c r="E216">
        <v>8.16</v>
      </c>
      <c r="F216">
        <v>2.7549540000000001</v>
      </c>
      <c r="G216">
        <v>9.9499999999999993</v>
      </c>
      <c r="H216">
        <v>89.54</v>
      </c>
      <c r="I216">
        <v>63.759</v>
      </c>
      <c r="J216">
        <v>108106822109</v>
      </c>
      <c r="K216">
        <v>17590000000</v>
      </c>
      <c r="L216">
        <v>5.2087463999999999</v>
      </c>
      <c r="M216">
        <v>4.12</v>
      </c>
      <c r="N216" t="s">
        <v>671</v>
      </c>
      <c r="O216">
        <v>108.1</v>
      </c>
      <c r="P216">
        <v>17.600000000000001</v>
      </c>
    </row>
    <row r="217" spans="1:16" x14ac:dyDescent="0.45">
      <c r="A217" t="s">
        <v>672</v>
      </c>
      <c r="B217" t="s">
        <v>673</v>
      </c>
      <c r="C217" t="s">
        <v>32</v>
      </c>
      <c r="D217">
        <v>100.59</v>
      </c>
      <c r="E217">
        <v>27.86</v>
      </c>
      <c r="F217">
        <v>3.7622272999999998E-2</v>
      </c>
      <c r="G217">
        <v>1.58</v>
      </c>
      <c r="H217">
        <v>113.26</v>
      </c>
      <c r="I217">
        <v>76.47</v>
      </c>
      <c r="J217">
        <v>16920023264</v>
      </c>
      <c r="K217">
        <v>960345000</v>
      </c>
      <c r="L217">
        <v>5.7758330000000004</v>
      </c>
      <c r="M217">
        <v>4.7300000000000004</v>
      </c>
      <c r="N217" t="s">
        <v>674</v>
      </c>
      <c r="O217">
        <v>16.899999999999999</v>
      </c>
      <c r="P217">
        <v>1</v>
      </c>
    </row>
    <row r="218" spans="1:16" x14ac:dyDescent="0.45">
      <c r="A218" t="s">
        <v>675</v>
      </c>
      <c r="B218" t="s">
        <v>676</v>
      </c>
      <c r="C218" t="s">
        <v>59</v>
      </c>
      <c r="D218">
        <v>246.35</v>
      </c>
      <c r="E218">
        <v>12.44</v>
      </c>
      <c r="F218">
        <v>1.1668612</v>
      </c>
      <c r="G218">
        <v>8.61</v>
      </c>
      <c r="H218">
        <v>273.79000000000002</v>
      </c>
      <c r="I218">
        <v>209.62</v>
      </c>
      <c r="J218">
        <v>96978500251</v>
      </c>
      <c r="K218">
        <v>0</v>
      </c>
      <c r="L218">
        <v>2.309415</v>
      </c>
      <c r="M218">
        <v>1.25</v>
      </c>
      <c r="N218" t="s">
        <v>677</v>
      </c>
      <c r="O218">
        <v>97</v>
      </c>
      <c r="P218">
        <v>0</v>
      </c>
    </row>
    <row r="219" spans="1:16" x14ac:dyDescent="0.45">
      <c r="A219" t="s">
        <v>678</v>
      </c>
      <c r="B219" t="s">
        <v>679</v>
      </c>
      <c r="C219" t="s">
        <v>45</v>
      </c>
      <c r="D219">
        <v>30.75</v>
      </c>
      <c r="E219">
        <v>9.92</v>
      </c>
      <c r="F219">
        <v>1.6731402</v>
      </c>
      <c r="G219">
        <v>4.74</v>
      </c>
      <c r="H219">
        <v>37.200000000000003</v>
      </c>
      <c r="I219">
        <v>28.81</v>
      </c>
      <c r="J219">
        <v>8244568238</v>
      </c>
      <c r="K219">
        <v>2044000000</v>
      </c>
      <c r="L219">
        <v>0.72725976000000003</v>
      </c>
      <c r="M219">
        <v>1.65</v>
      </c>
      <c r="N219" t="s">
        <v>680</v>
      </c>
      <c r="O219">
        <v>8.1999999999999993</v>
      </c>
      <c r="P219">
        <v>2</v>
      </c>
    </row>
    <row r="220" spans="1:16" x14ac:dyDescent="0.45">
      <c r="A220" t="s">
        <v>681</v>
      </c>
      <c r="B220" t="s">
        <v>682</v>
      </c>
      <c r="C220" t="s">
        <v>18</v>
      </c>
      <c r="D220">
        <v>258.60000000000002</v>
      </c>
      <c r="E220">
        <v>22.57</v>
      </c>
      <c r="F220">
        <v>1.9700643</v>
      </c>
      <c r="G220">
        <v>10.02</v>
      </c>
      <c r="H220">
        <v>298.14499999999998</v>
      </c>
      <c r="I220">
        <v>155</v>
      </c>
      <c r="J220">
        <v>14639308205</v>
      </c>
      <c r="K220">
        <v>1279846000</v>
      </c>
      <c r="L220">
        <v>1.3995146000000001</v>
      </c>
      <c r="M220">
        <v>8.1</v>
      </c>
      <c r="N220" t="s">
        <v>683</v>
      </c>
      <c r="O220">
        <v>14.6</v>
      </c>
      <c r="P220">
        <v>1.3</v>
      </c>
    </row>
    <row r="221" spans="1:16" x14ac:dyDescent="0.45">
      <c r="A221" t="s">
        <v>684</v>
      </c>
      <c r="B221" t="s">
        <v>685</v>
      </c>
      <c r="C221" t="s">
        <v>156</v>
      </c>
      <c r="D221">
        <v>47.41</v>
      </c>
      <c r="E221">
        <v>38.86</v>
      </c>
      <c r="F221">
        <v>1.4489837000000001</v>
      </c>
      <c r="G221">
        <v>-0.53</v>
      </c>
      <c r="H221">
        <v>57.86</v>
      </c>
      <c r="I221">
        <v>38.180999999999997</v>
      </c>
      <c r="J221">
        <v>43356557470</v>
      </c>
      <c r="K221">
        <v>2910000000</v>
      </c>
      <c r="L221">
        <v>2.1424224000000001</v>
      </c>
      <c r="M221">
        <v>4.74</v>
      </c>
      <c r="N221" t="s">
        <v>686</v>
      </c>
      <c r="O221">
        <v>43.4</v>
      </c>
      <c r="P221">
        <v>2.9</v>
      </c>
    </row>
    <row r="222" spans="1:16" x14ac:dyDescent="0.45">
      <c r="A222" t="s">
        <v>687</v>
      </c>
      <c r="B222" t="s">
        <v>688</v>
      </c>
      <c r="C222" t="s">
        <v>45</v>
      </c>
      <c r="D222">
        <v>19.57</v>
      </c>
      <c r="E222">
        <v>10.039999999999999</v>
      </c>
      <c r="F222">
        <v>2.7322403999999998</v>
      </c>
      <c r="G222">
        <v>1.41</v>
      </c>
      <c r="H222">
        <v>25.73</v>
      </c>
      <c r="I222">
        <v>18.899999999999999</v>
      </c>
      <c r="J222">
        <v>8006268615</v>
      </c>
      <c r="K222">
        <v>926153000</v>
      </c>
      <c r="L222">
        <v>1.6339767999999999</v>
      </c>
      <c r="M222">
        <v>6.17</v>
      </c>
      <c r="N222" t="s">
        <v>689</v>
      </c>
      <c r="O222">
        <v>8</v>
      </c>
      <c r="P222">
        <v>0.9</v>
      </c>
    </row>
    <row r="223" spans="1:16" x14ac:dyDescent="0.45">
      <c r="A223" t="s">
        <v>690</v>
      </c>
      <c r="B223" t="s">
        <v>691</v>
      </c>
      <c r="C223" t="s">
        <v>45</v>
      </c>
      <c r="D223">
        <v>47.54</v>
      </c>
      <c r="E223">
        <v>13.7</v>
      </c>
      <c r="F223">
        <v>3.0218647000000001</v>
      </c>
      <c r="G223">
        <v>2.98</v>
      </c>
      <c r="H223">
        <v>63.4</v>
      </c>
      <c r="I223">
        <v>44.52</v>
      </c>
      <c r="J223">
        <v>8158949890</v>
      </c>
      <c r="K223">
        <v>1058817000</v>
      </c>
      <c r="L223">
        <v>1.66195</v>
      </c>
      <c r="M223">
        <v>4.3099999999999996</v>
      </c>
      <c r="N223" t="s">
        <v>692</v>
      </c>
      <c r="O223">
        <v>8.1999999999999993</v>
      </c>
      <c r="P223">
        <v>1.1000000000000001</v>
      </c>
    </row>
    <row r="224" spans="1:16" x14ac:dyDescent="0.45">
      <c r="A224" t="s">
        <v>693</v>
      </c>
      <c r="B224" t="s">
        <v>694</v>
      </c>
      <c r="C224" t="s">
        <v>32</v>
      </c>
      <c r="D224">
        <v>149.84</v>
      </c>
      <c r="E224">
        <v>26.38</v>
      </c>
      <c r="F224">
        <v>1.4922442</v>
      </c>
      <c r="G224">
        <v>4.43</v>
      </c>
      <c r="H224">
        <v>160.66999999999999</v>
      </c>
      <c r="I224">
        <v>104.16</v>
      </c>
      <c r="J224">
        <v>18140726600</v>
      </c>
      <c r="K224">
        <v>1368000000</v>
      </c>
      <c r="L224">
        <v>2.9516637000000001</v>
      </c>
      <c r="M224">
        <v>5.88</v>
      </c>
      <c r="N224" t="s">
        <v>695</v>
      </c>
      <c r="O224">
        <v>18.100000000000001</v>
      </c>
      <c r="P224">
        <v>1.4</v>
      </c>
    </row>
    <row r="225" spans="1:16" x14ac:dyDescent="0.45">
      <c r="A225" t="s">
        <v>696</v>
      </c>
      <c r="B225" t="s">
        <v>697</v>
      </c>
      <c r="C225" t="s">
        <v>59</v>
      </c>
      <c r="D225">
        <v>53.34</v>
      </c>
      <c r="E225">
        <v>14.34</v>
      </c>
      <c r="F225">
        <v>1.7901897</v>
      </c>
      <c r="G225">
        <v>2.27</v>
      </c>
      <c r="H225">
        <v>59.2</v>
      </c>
      <c r="I225">
        <v>46.35</v>
      </c>
      <c r="J225">
        <v>19926305632</v>
      </c>
      <c r="K225">
        <v>0</v>
      </c>
      <c r="L225">
        <v>1.3939538</v>
      </c>
      <c r="M225">
        <v>1.1499999999999999</v>
      </c>
      <c r="N225" t="s">
        <v>698</v>
      </c>
      <c r="O225">
        <v>19.899999999999999</v>
      </c>
      <c r="P225">
        <v>0</v>
      </c>
    </row>
    <row r="226" spans="1:16" x14ac:dyDescent="0.45">
      <c r="A226" t="s">
        <v>699</v>
      </c>
      <c r="B226" t="s">
        <v>700</v>
      </c>
      <c r="C226" t="s">
        <v>45</v>
      </c>
      <c r="D226">
        <v>96.48</v>
      </c>
      <c r="E226">
        <v>20.57</v>
      </c>
      <c r="F226">
        <v>2.2304832999999999</v>
      </c>
      <c r="G226">
        <v>4.34</v>
      </c>
      <c r="H226">
        <v>116.2</v>
      </c>
      <c r="I226">
        <v>87.92</v>
      </c>
      <c r="J226">
        <v>12732072001</v>
      </c>
      <c r="K226">
        <v>1028425000</v>
      </c>
      <c r="L226">
        <v>3.2375680999999998</v>
      </c>
      <c r="M226">
        <v>5.82</v>
      </c>
      <c r="N226" t="s">
        <v>701</v>
      </c>
      <c r="O226">
        <v>12.7</v>
      </c>
      <c r="P226">
        <v>1</v>
      </c>
    </row>
    <row r="227" spans="1:16" x14ac:dyDescent="0.45">
      <c r="A227" t="s">
        <v>702</v>
      </c>
      <c r="B227" t="s">
        <v>703</v>
      </c>
      <c r="C227" t="s">
        <v>25</v>
      </c>
      <c r="D227">
        <v>95.97</v>
      </c>
      <c r="E227">
        <v>14.07</v>
      </c>
      <c r="F227">
        <v>1.4227642</v>
      </c>
      <c r="G227">
        <v>5.94</v>
      </c>
      <c r="H227">
        <v>106.84</v>
      </c>
      <c r="I227">
        <v>71.180000000000007</v>
      </c>
      <c r="J227">
        <v>34449052800</v>
      </c>
      <c r="K227">
        <v>8202000000</v>
      </c>
      <c r="L227">
        <v>0.72519210000000001</v>
      </c>
      <c r="N227" t="s">
        <v>704</v>
      </c>
      <c r="O227">
        <v>34.4</v>
      </c>
      <c r="P227">
        <v>8.1999999999999993</v>
      </c>
    </row>
    <row r="228" spans="1:16" x14ac:dyDescent="0.45">
      <c r="A228" t="s">
        <v>705</v>
      </c>
      <c r="B228" t="s">
        <v>706</v>
      </c>
      <c r="C228" t="s">
        <v>82</v>
      </c>
      <c r="D228">
        <v>22.64</v>
      </c>
      <c r="E228">
        <v>10.99</v>
      </c>
      <c r="F228">
        <v>6.3301970000000001</v>
      </c>
      <c r="G228">
        <v>1.33</v>
      </c>
      <c r="H228">
        <v>33.67</v>
      </c>
      <c r="I228">
        <v>22.8</v>
      </c>
      <c r="J228">
        <v>10967755538</v>
      </c>
      <c r="K228">
        <v>1412684000</v>
      </c>
      <c r="L228">
        <v>8.1271090000000008</v>
      </c>
      <c r="M228">
        <v>1.97</v>
      </c>
      <c r="N228" t="s">
        <v>707</v>
      </c>
      <c r="O228">
        <v>11</v>
      </c>
      <c r="P228">
        <v>1.4</v>
      </c>
    </row>
    <row r="229" spans="1:16" x14ac:dyDescent="0.45">
      <c r="A229" t="s">
        <v>708</v>
      </c>
      <c r="B229" t="s">
        <v>709</v>
      </c>
      <c r="C229" t="s">
        <v>156</v>
      </c>
      <c r="D229">
        <v>64.87</v>
      </c>
      <c r="E229">
        <v>-54.51</v>
      </c>
      <c r="F229">
        <v>4.1499924999999998</v>
      </c>
      <c r="G229">
        <v>-1.2</v>
      </c>
      <c r="H229">
        <v>75.02</v>
      </c>
      <c r="I229">
        <v>42.16</v>
      </c>
      <c r="J229">
        <v>7345243806</v>
      </c>
      <c r="K229">
        <v>483673000</v>
      </c>
      <c r="L229">
        <v>3.7385861999999999</v>
      </c>
      <c r="M229">
        <v>1.62</v>
      </c>
      <c r="N229" t="s">
        <v>710</v>
      </c>
      <c r="O229">
        <v>7.3</v>
      </c>
      <c r="P229">
        <v>0.5</v>
      </c>
    </row>
    <row r="230" spans="1:16" x14ac:dyDescent="0.45">
      <c r="A230" t="s">
        <v>711</v>
      </c>
      <c r="B230" t="s">
        <v>712</v>
      </c>
      <c r="C230" t="s">
        <v>25</v>
      </c>
      <c r="D230">
        <v>70.849999999999994</v>
      </c>
      <c r="E230">
        <v>19.850000000000001</v>
      </c>
      <c r="F230">
        <v>0</v>
      </c>
      <c r="G230">
        <v>3.1</v>
      </c>
      <c r="H230">
        <v>93.495000000000005</v>
      </c>
      <c r="I230">
        <v>65.28</v>
      </c>
      <c r="J230">
        <v>11452961984</v>
      </c>
      <c r="K230">
        <v>1033985000</v>
      </c>
      <c r="L230">
        <v>1.262194</v>
      </c>
      <c r="M230">
        <v>3.74</v>
      </c>
      <c r="N230" t="s">
        <v>713</v>
      </c>
      <c r="O230">
        <v>11.5</v>
      </c>
      <c r="P230">
        <v>1</v>
      </c>
    </row>
    <row r="231" spans="1:16" x14ac:dyDescent="0.45">
      <c r="A231" t="s">
        <v>714</v>
      </c>
      <c r="B231" t="s">
        <v>715</v>
      </c>
      <c r="C231" t="s">
        <v>156</v>
      </c>
      <c r="D231">
        <v>43</v>
      </c>
      <c r="E231">
        <v>-9.33</v>
      </c>
      <c r="F231">
        <v>2.2670596000000001</v>
      </c>
      <c r="G231">
        <v>-19.940000000000001</v>
      </c>
      <c r="H231">
        <v>55.48</v>
      </c>
      <c r="I231">
        <v>37.25</v>
      </c>
      <c r="J231">
        <v>14016129999</v>
      </c>
      <c r="K231">
        <v>-819000000</v>
      </c>
      <c r="L231">
        <v>3.780475</v>
      </c>
      <c r="M231">
        <v>1.08</v>
      </c>
      <c r="N231" t="s">
        <v>716</v>
      </c>
      <c r="O231">
        <v>14</v>
      </c>
      <c r="P231">
        <v>-0.8</v>
      </c>
    </row>
    <row r="232" spans="1:16" x14ac:dyDescent="0.45">
      <c r="A232" t="s">
        <v>717</v>
      </c>
      <c r="B232" t="s">
        <v>718</v>
      </c>
      <c r="C232" t="s">
        <v>32</v>
      </c>
      <c r="D232">
        <v>15.04</v>
      </c>
      <c r="E232">
        <v>11.57</v>
      </c>
      <c r="F232">
        <v>1.9280206</v>
      </c>
      <c r="G232">
        <v>0.21</v>
      </c>
      <c r="H232">
        <v>24.88</v>
      </c>
      <c r="I232">
        <v>12.815</v>
      </c>
      <c r="J232">
        <v>24800859640</v>
      </c>
      <c r="K232">
        <v>3683000000</v>
      </c>
      <c r="L232">
        <v>1.4609766</v>
      </c>
      <c r="M232">
        <v>1.06</v>
      </c>
      <c r="N232" t="s">
        <v>719</v>
      </c>
      <c r="O232">
        <v>24.8</v>
      </c>
      <c r="P232">
        <v>3.7</v>
      </c>
    </row>
    <row r="233" spans="1:16" x14ac:dyDescent="0.45">
      <c r="A233" t="s">
        <v>720</v>
      </c>
      <c r="B233" t="s">
        <v>721</v>
      </c>
      <c r="C233" t="s">
        <v>45</v>
      </c>
      <c r="D233">
        <v>78.66</v>
      </c>
      <c r="E233">
        <v>36.42</v>
      </c>
      <c r="F233">
        <v>0.73152890000000004</v>
      </c>
      <c r="G233">
        <v>1.05</v>
      </c>
      <c r="H233">
        <v>88.11</v>
      </c>
      <c r="I233">
        <v>55.79</v>
      </c>
      <c r="J233">
        <v>26242415796</v>
      </c>
      <c r="K233">
        <v>2815000000</v>
      </c>
      <c r="L233">
        <v>3.7628452999999999</v>
      </c>
      <c r="M233">
        <v>17.670000000000002</v>
      </c>
      <c r="N233" t="s">
        <v>722</v>
      </c>
      <c r="O233">
        <v>26.2</v>
      </c>
      <c r="P233">
        <v>2.8</v>
      </c>
    </row>
    <row r="234" spans="1:16" x14ac:dyDescent="0.45">
      <c r="A234" t="s">
        <v>723</v>
      </c>
      <c r="B234" t="s">
        <v>724</v>
      </c>
      <c r="C234" t="s">
        <v>25</v>
      </c>
      <c r="D234">
        <v>38.799999999999997</v>
      </c>
      <c r="E234">
        <v>19.21</v>
      </c>
      <c r="F234">
        <v>0</v>
      </c>
      <c r="G234">
        <v>2.64</v>
      </c>
      <c r="H234">
        <v>46.8</v>
      </c>
      <c r="I234">
        <v>35.76</v>
      </c>
      <c r="J234">
        <v>11181493750</v>
      </c>
      <c r="K234">
        <v>1561000000</v>
      </c>
      <c r="L234">
        <v>4.80335</v>
      </c>
      <c r="M234">
        <v>4</v>
      </c>
      <c r="N234" t="s">
        <v>725</v>
      </c>
      <c r="O234">
        <v>11.2</v>
      </c>
      <c r="P234">
        <v>1.6</v>
      </c>
    </row>
    <row r="235" spans="1:16" x14ac:dyDescent="0.45">
      <c r="A235" t="s">
        <v>726</v>
      </c>
      <c r="B235" t="s">
        <v>727</v>
      </c>
      <c r="C235" t="s">
        <v>45</v>
      </c>
      <c r="D235">
        <v>181.22</v>
      </c>
      <c r="E235">
        <v>28.1</v>
      </c>
      <c r="F235">
        <v>1.8610487</v>
      </c>
      <c r="G235">
        <v>6.46</v>
      </c>
      <c r="H235">
        <v>207.60499999999999</v>
      </c>
      <c r="I235">
        <v>136.82</v>
      </c>
      <c r="J235">
        <v>223378633329</v>
      </c>
      <c r="K235">
        <v>16513000000</v>
      </c>
      <c r="L235">
        <v>2.8964398</v>
      </c>
      <c r="M235">
        <v>84.08</v>
      </c>
      <c r="N235" t="s">
        <v>728</v>
      </c>
      <c r="O235">
        <v>223.4</v>
      </c>
      <c r="P235">
        <v>16.5</v>
      </c>
    </row>
    <row r="236" spans="1:16" x14ac:dyDescent="0.45">
      <c r="A236" t="s">
        <v>729</v>
      </c>
      <c r="B236" t="s">
        <v>730</v>
      </c>
      <c r="C236" t="s">
        <v>18</v>
      </c>
      <c r="D236">
        <v>146.02000000000001</v>
      </c>
      <c r="E236">
        <v>20.68</v>
      </c>
      <c r="F236">
        <v>1.9710299</v>
      </c>
      <c r="G236">
        <v>2.08</v>
      </c>
      <c r="H236">
        <v>165.13</v>
      </c>
      <c r="I236">
        <v>119.31</v>
      </c>
      <c r="J236">
        <v>114422168609</v>
      </c>
      <c r="K236">
        <v>8333000000</v>
      </c>
      <c r="L236">
        <v>2.8267899000000001</v>
      </c>
      <c r="M236">
        <v>5.71</v>
      </c>
      <c r="N236" t="s">
        <v>731</v>
      </c>
      <c r="O236">
        <v>114.4</v>
      </c>
      <c r="P236">
        <v>8.3000000000000007</v>
      </c>
    </row>
    <row r="237" spans="1:16" x14ac:dyDescent="0.45">
      <c r="A237" t="s">
        <v>732</v>
      </c>
      <c r="B237" t="s">
        <v>733</v>
      </c>
      <c r="C237" t="s">
        <v>113</v>
      </c>
      <c r="D237">
        <v>32.21</v>
      </c>
      <c r="E237">
        <v>20.39</v>
      </c>
      <c r="F237">
        <v>2.2907758</v>
      </c>
      <c r="G237">
        <v>1.57</v>
      </c>
      <c r="H237">
        <v>38</v>
      </c>
      <c r="I237">
        <v>29.75</v>
      </c>
      <c r="J237">
        <v>17338613096</v>
      </c>
      <c r="K237">
        <v>1422305000</v>
      </c>
      <c r="L237">
        <v>2.5174791999999999</v>
      </c>
      <c r="M237">
        <v>3.49</v>
      </c>
      <c r="N237" t="s">
        <v>734</v>
      </c>
      <c r="O237">
        <v>17.3</v>
      </c>
      <c r="P237">
        <v>1.4</v>
      </c>
    </row>
    <row r="238" spans="1:16" x14ac:dyDescent="0.45">
      <c r="A238" t="s">
        <v>735</v>
      </c>
      <c r="B238" t="s">
        <v>736</v>
      </c>
      <c r="C238" t="s">
        <v>82</v>
      </c>
      <c r="D238">
        <v>18.75</v>
      </c>
      <c r="E238">
        <v>11.23</v>
      </c>
      <c r="F238">
        <v>4.1131105000000003</v>
      </c>
      <c r="G238">
        <v>1.02</v>
      </c>
      <c r="H238">
        <v>21.53</v>
      </c>
      <c r="I238">
        <v>17.260000000000002</v>
      </c>
      <c r="J238">
        <v>14394715334</v>
      </c>
      <c r="K238">
        <v>1547000000</v>
      </c>
      <c r="L238">
        <v>3.5549127999999999</v>
      </c>
      <c r="M238">
        <v>2.02</v>
      </c>
      <c r="N238" t="s">
        <v>737</v>
      </c>
      <c r="O238">
        <v>14.4</v>
      </c>
      <c r="P238">
        <v>1.5</v>
      </c>
    </row>
    <row r="239" spans="1:16" x14ac:dyDescent="0.45">
      <c r="A239" t="s">
        <v>738</v>
      </c>
      <c r="B239" t="s">
        <v>739</v>
      </c>
      <c r="C239" t="s">
        <v>32</v>
      </c>
      <c r="D239">
        <v>19.920000000000002</v>
      </c>
      <c r="E239">
        <v>12.07</v>
      </c>
      <c r="F239">
        <v>2.6270628</v>
      </c>
      <c r="G239">
        <v>1.49</v>
      </c>
      <c r="H239">
        <v>24.1</v>
      </c>
      <c r="I239">
        <v>15.39</v>
      </c>
      <c r="J239">
        <v>34895294088</v>
      </c>
      <c r="K239">
        <v>3700000000</v>
      </c>
      <c r="L239">
        <v>0.89549029999999996</v>
      </c>
      <c r="M239">
        <v>0.66</v>
      </c>
      <c r="N239" t="s">
        <v>740</v>
      </c>
      <c r="O239">
        <v>34.9</v>
      </c>
      <c r="P239">
        <v>3.7</v>
      </c>
    </row>
    <row r="240" spans="1:16" x14ac:dyDescent="0.45">
      <c r="A240" t="s">
        <v>741</v>
      </c>
      <c r="B240" t="s">
        <v>742</v>
      </c>
      <c r="C240" t="s">
        <v>25</v>
      </c>
      <c r="D240">
        <v>262.37</v>
      </c>
      <c r="E240">
        <v>22.39</v>
      </c>
      <c r="F240">
        <v>0.60400149999999997</v>
      </c>
      <c r="G240">
        <v>4.0599999999999996</v>
      </c>
      <c r="H240">
        <v>293.35000000000002</v>
      </c>
      <c r="I240">
        <v>189.01</v>
      </c>
      <c r="J240">
        <v>36973617235</v>
      </c>
      <c r="K240">
        <v>0</v>
      </c>
      <c r="L240">
        <v>0.92568950000000005</v>
      </c>
      <c r="M240">
        <v>3.33</v>
      </c>
      <c r="N240" t="s">
        <v>743</v>
      </c>
      <c r="O240">
        <v>37</v>
      </c>
      <c r="P240">
        <v>0</v>
      </c>
    </row>
    <row r="241" spans="1:16" x14ac:dyDescent="0.45">
      <c r="A241" t="s">
        <v>744</v>
      </c>
      <c r="B241" t="s">
        <v>745</v>
      </c>
      <c r="C241" t="s">
        <v>59</v>
      </c>
      <c r="D241">
        <v>15.1</v>
      </c>
      <c r="E241">
        <v>15.41</v>
      </c>
      <c r="F241">
        <v>2.8132991999999999</v>
      </c>
      <c r="G241">
        <v>1</v>
      </c>
      <c r="H241">
        <v>16.53</v>
      </c>
      <c r="I241">
        <v>12.14</v>
      </c>
      <c r="J241">
        <v>16766497291</v>
      </c>
      <c r="K241">
        <v>0</v>
      </c>
      <c r="L241">
        <v>3.5112101999999998</v>
      </c>
      <c r="M241">
        <v>1.72</v>
      </c>
      <c r="N241" t="s">
        <v>746</v>
      </c>
      <c r="O241">
        <v>16.8</v>
      </c>
      <c r="P241">
        <v>0</v>
      </c>
    </row>
    <row r="242" spans="1:16" x14ac:dyDescent="0.45">
      <c r="A242" t="s">
        <v>747</v>
      </c>
      <c r="B242" t="s">
        <v>748</v>
      </c>
      <c r="C242" t="s">
        <v>18</v>
      </c>
      <c r="D242">
        <v>225.37</v>
      </c>
      <c r="E242">
        <v>18.75</v>
      </c>
      <c r="F242">
        <v>1.2264713</v>
      </c>
      <c r="G242">
        <v>12.15</v>
      </c>
      <c r="H242">
        <v>253.44</v>
      </c>
      <c r="I242">
        <v>183.42</v>
      </c>
      <c r="J242">
        <v>10628247899</v>
      </c>
      <c r="K242">
        <v>1107000000</v>
      </c>
      <c r="L242">
        <v>1.8924941</v>
      </c>
      <c r="M242">
        <v>6.04</v>
      </c>
      <c r="N242" t="s">
        <v>749</v>
      </c>
      <c r="O242">
        <v>10.6</v>
      </c>
      <c r="P242">
        <v>1.1000000000000001</v>
      </c>
    </row>
    <row r="243" spans="1:16" x14ac:dyDescent="0.45">
      <c r="A243" t="s">
        <v>750</v>
      </c>
      <c r="B243" t="s">
        <v>751</v>
      </c>
      <c r="C243" t="s">
        <v>25</v>
      </c>
      <c r="D243">
        <v>169.28</v>
      </c>
      <c r="E243">
        <v>53.57</v>
      </c>
      <c r="F243">
        <v>0</v>
      </c>
      <c r="G243">
        <v>2.94</v>
      </c>
      <c r="H243">
        <v>198.73</v>
      </c>
      <c r="I243">
        <v>140.63</v>
      </c>
      <c r="J243">
        <v>15422885020</v>
      </c>
      <c r="K243">
        <v>478307000</v>
      </c>
      <c r="L243">
        <v>7.97525</v>
      </c>
      <c r="M243">
        <v>196.21</v>
      </c>
      <c r="N243" t="s">
        <v>752</v>
      </c>
      <c r="O243">
        <v>15.4</v>
      </c>
      <c r="P243">
        <v>0.5</v>
      </c>
    </row>
    <row r="244" spans="1:16" x14ac:dyDescent="0.45">
      <c r="A244" t="s">
        <v>753</v>
      </c>
      <c r="B244" t="s">
        <v>754</v>
      </c>
      <c r="C244" t="s">
        <v>18</v>
      </c>
      <c r="D244">
        <v>43.73</v>
      </c>
      <c r="E244">
        <v>26.19</v>
      </c>
      <c r="F244">
        <v>0</v>
      </c>
      <c r="G244">
        <v>1</v>
      </c>
      <c r="H244">
        <v>49.19</v>
      </c>
      <c r="I244">
        <v>37.82</v>
      </c>
      <c r="J244">
        <v>17969275816</v>
      </c>
      <c r="K244">
        <v>1018900000</v>
      </c>
      <c r="L244">
        <v>5.0603999999999996</v>
      </c>
      <c r="M244">
        <v>2.2400000000000002</v>
      </c>
      <c r="N244" t="s">
        <v>755</v>
      </c>
      <c r="O244">
        <v>18</v>
      </c>
      <c r="P244">
        <v>1</v>
      </c>
    </row>
    <row r="245" spans="1:16" x14ac:dyDescent="0.45">
      <c r="A245" t="s">
        <v>756</v>
      </c>
      <c r="B245" t="s">
        <v>757</v>
      </c>
      <c r="C245" t="s">
        <v>18</v>
      </c>
      <c r="D245">
        <v>156.15</v>
      </c>
      <c r="E245">
        <v>23.62</v>
      </c>
      <c r="F245">
        <v>1.9089574</v>
      </c>
      <c r="G245">
        <v>4.8600000000000003</v>
      </c>
      <c r="H245">
        <v>179.07</v>
      </c>
      <c r="I245">
        <v>126.52</v>
      </c>
      <c r="J245">
        <v>55994378108</v>
      </c>
      <c r="K245">
        <v>3924000000</v>
      </c>
      <c r="L245">
        <v>3.9286148999999999</v>
      </c>
      <c r="M245">
        <v>10.99</v>
      </c>
      <c r="N245" t="s">
        <v>758</v>
      </c>
      <c r="O245">
        <v>56</v>
      </c>
      <c r="P245">
        <v>3.9</v>
      </c>
    </row>
    <row r="246" spans="1:16" x14ac:dyDescent="0.45">
      <c r="A246" t="s">
        <v>759</v>
      </c>
      <c r="B246" t="s">
        <v>760</v>
      </c>
      <c r="C246" t="s">
        <v>25</v>
      </c>
      <c r="D246">
        <v>209.54</v>
      </c>
      <c r="E246">
        <v>52.25</v>
      </c>
      <c r="F246">
        <v>0</v>
      </c>
      <c r="G246">
        <v>4.92</v>
      </c>
      <c r="H246">
        <v>248.97</v>
      </c>
      <c r="I246">
        <v>158.02029999999999</v>
      </c>
      <c r="J246">
        <v>32295200000</v>
      </c>
      <c r="K246">
        <v>1192000000</v>
      </c>
      <c r="L246">
        <v>11.713953</v>
      </c>
      <c r="M246">
        <v>10.89</v>
      </c>
      <c r="N246" t="s">
        <v>761</v>
      </c>
      <c r="O246">
        <v>32.299999999999997</v>
      </c>
      <c r="P246">
        <v>1.2</v>
      </c>
    </row>
    <row r="247" spans="1:16" x14ac:dyDescent="0.45">
      <c r="A247" t="s">
        <v>762</v>
      </c>
      <c r="B247" t="s">
        <v>763</v>
      </c>
      <c r="C247" t="s">
        <v>25</v>
      </c>
      <c r="D247">
        <v>83.92</v>
      </c>
      <c r="E247">
        <v>-119.89</v>
      </c>
      <c r="F247">
        <v>0</v>
      </c>
      <c r="G247">
        <v>0.54</v>
      </c>
      <c r="H247">
        <v>153.15</v>
      </c>
      <c r="I247">
        <v>84.21</v>
      </c>
      <c r="J247">
        <v>18220961259</v>
      </c>
      <c r="K247">
        <v>-81686000</v>
      </c>
      <c r="L247">
        <v>17.026990000000001</v>
      </c>
      <c r="M247">
        <v>10.25</v>
      </c>
      <c r="N247" t="s">
        <v>764</v>
      </c>
      <c r="O247">
        <v>18.2</v>
      </c>
      <c r="P247">
        <v>-0.1</v>
      </c>
    </row>
    <row r="248" spans="1:16" x14ac:dyDescent="0.45">
      <c r="A248" t="s">
        <v>765</v>
      </c>
      <c r="B248" t="s">
        <v>766</v>
      </c>
      <c r="C248" t="s">
        <v>18</v>
      </c>
      <c r="D248">
        <v>87.6</v>
      </c>
      <c r="E248">
        <v>19.38</v>
      </c>
      <c r="F248">
        <v>1.9739007</v>
      </c>
      <c r="G248">
        <v>5.07</v>
      </c>
      <c r="H248">
        <v>97.67</v>
      </c>
      <c r="I248">
        <v>77.260000000000005</v>
      </c>
      <c r="J248">
        <v>22785450609</v>
      </c>
      <c r="K248">
        <v>1987100000</v>
      </c>
      <c r="L248">
        <v>1.6147361</v>
      </c>
      <c r="M248">
        <v>3.34</v>
      </c>
      <c r="N248" t="s">
        <v>767</v>
      </c>
      <c r="O248">
        <v>22.8</v>
      </c>
      <c r="P248">
        <v>2</v>
      </c>
    </row>
    <row r="249" spans="1:16" x14ac:dyDescent="0.45">
      <c r="A249" t="s">
        <v>768</v>
      </c>
      <c r="B249" t="s">
        <v>769</v>
      </c>
      <c r="C249" t="s">
        <v>32</v>
      </c>
      <c r="D249">
        <v>42.75</v>
      </c>
      <c r="E249">
        <v>12.32</v>
      </c>
      <c r="F249">
        <v>2.6548672</v>
      </c>
      <c r="G249">
        <v>1.98</v>
      </c>
      <c r="H249">
        <v>50.85</v>
      </c>
      <c r="I249">
        <v>33.229999999999997</v>
      </c>
      <c r="J249">
        <v>211536000000</v>
      </c>
      <c r="K249">
        <v>26247000000</v>
      </c>
      <c r="L249">
        <v>3.3488760000000002</v>
      </c>
      <c r="M249">
        <v>3.34</v>
      </c>
      <c r="N249" t="s">
        <v>770</v>
      </c>
      <c r="O249">
        <v>211.5</v>
      </c>
      <c r="P249">
        <v>26.2</v>
      </c>
    </row>
    <row r="250" spans="1:16" x14ac:dyDescent="0.45">
      <c r="A250" t="s">
        <v>771</v>
      </c>
      <c r="B250" t="s">
        <v>772</v>
      </c>
      <c r="C250" t="s">
        <v>59</v>
      </c>
      <c r="D250">
        <v>67</v>
      </c>
      <c r="E250">
        <v>22.95</v>
      </c>
      <c r="F250">
        <v>5.4298643999999996</v>
      </c>
      <c r="G250">
        <v>2.37</v>
      </c>
      <c r="H250">
        <v>76.137799999999999</v>
      </c>
      <c r="I250">
        <v>56.8</v>
      </c>
      <c r="J250">
        <v>41373051167</v>
      </c>
      <c r="K250">
        <v>3103000000</v>
      </c>
      <c r="L250">
        <v>9.6199870000000001</v>
      </c>
      <c r="M250">
        <v>2.62</v>
      </c>
      <c r="N250" t="s">
        <v>773</v>
      </c>
      <c r="O250">
        <v>41.4</v>
      </c>
      <c r="P250">
        <v>3.1</v>
      </c>
    </row>
    <row r="251" spans="1:16" x14ac:dyDescent="0.45">
      <c r="A251" t="s">
        <v>774</v>
      </c>
      <c r="B251" t="s">
        <v>775</v>
      </c>
      <c r="C251" t="s">
        <v>32</v>
      </c>
      <c r="D251">
        <v>147.59</v>
      </c>
      <c r="E251">
        <v>10.67</v>
      </c>
      <c r="F251">
        <v>3.8999025999999999</v>
      </c>
      <c r="G251">
        <v>6.11</v>
      </c>
      <c r="H251">
        <v>182.79</v>
      </c>
      <c r="I251">
        <v>139.13</v>
      </c>
      <c r="J251">
        <v>142433003505</v>
      </c>
      <c r="K251">
        <v>16557000000</v>
      </c>
      <c r="L251">
        <v>1.817167</v>
      </c>
      <c r="M251">
        <v>7.7</v>
      </c>
      <c r="N251" t="s">
        <v>776</v>
      </c>
      <c r="O251">
        <v>142.4</v>
      </c>
      <c r="P251">
        <v>16.600000000000001</v>
      </c>
    </row>
    <row r="252" spans="1:16" x14ac:dyDescent="0.45">
      <c r="A252" t="s">
        <v>777</v>
      </c>
      <c r="B252" t="s">
        <v>778</v>
      </c>
      <c r="C252" t="s">
        <v>69</v>
      </c>
      <c r="D252">
        <v>56.05</v>
      </c>
      <c r="E252">
        <v>15.57</v>
      </c>
      <c r="F252">
        <v>3.2067510000000001</v>
      </c>
      <c r="G252">
        <v>5.14</v>
      </c>
      <c r="H252">
        <v>66.94</v>
      </c>
      <c r="I252">
        <v>49.6</v>
      </c>
      <c r="J252">
        <v>24465996443</v>
      </c>
      <c r="K252">
        <v>3004000000</v>
      </c>
      <c r="L252">
        <v>1.0738261</v>
      </c>
      <c r="M252">
        <v>4.99</v>
      </c>
      <c r="N252" t="s">
        <v>779</v>
      </c>
      <c r="O252">
        <v>24.5</v>
      </c>
      <c r="P252">
        <v>3</v>
      </c>
    </row>
    <row r="253" spans="1:16" x14ac:dyDescent="0.45">
      <c r="A253" t="s">
        <v>780</v>
      </c>
      <c r="B253" t="s">
        <v>781</v>
      </c>
      <c r="C253" t="s">
        <v>45</v>
      </c>
      <c r="D253">
        <v>21.34</v>
      </c>
      <c r="E253">
        <v>15.46</v>
      </c>
      <c r="F253">
        <v>3.3802816999999998</v>
      </c>
      <c r="G253">
        <v>1.49</v>
      </c>
      <c r="H253">
        <v>25.71</v>
      </c>
      <c r="I253">
        <v>18.3</v>
      </c>
      <c r="J253">
        <v>8277363031</v>
      </c>
      <c r="K253">
        <v>1074900000</v>
      </c>
      <c r="L253">
        <v>1.4712902999999999</v>
      </c>
      <c r="M253">
        <v>4.01</v>
      </c>
      <c r="N253" t="s">
        <v>782</v>
      </c>
      <c r="O253">
        <v>8.3000000000000007</v>
      </c>
      <c r="P253">
        <v>1.1000000000000001</v>
      </c>
    </row>
    <row r="254" spans="1:16" x14ac:dyDescent="0.45">
      <c r="A254" t="s">
        <v>783</v>
      </c>
      <c r="B254" t="s">
        <v>784</v>
      </c>
      <c r="C254" t="s">
        <v>69</v>
      </c>
      <c r="D254">
        <v>138</v>
      </c>
      <c r="E254">
        <v>24.17</v>
      </c>
      <c r="F254">
        <v>1.9341276000000001</v>
      </c>
      <c r="G254">
        <v>5.05</v>
      </c>
      <c r="H254">
        <v>157.4</v>
      </c>
      <c r="I254">
        <v>116.3</v>
      </c>
      <c r="J254">
        <v>11270040447</v>
      </c>
      <c r="K254">
        <v>699963000</v>
      </c>
      <c r="L254">
        <v>4.4208812999999996</v>
      </c>
      <c r="M254">
        <v>6.34</v>
      </c>
      <c r="N254" t="s">
        <v>785</v>
      </c>
      <c r="O254">
        <v>11.3</v>
      </c>
      <c r="P254">
        <v>0.7</v>
      </c>
    </row>
    <row r="255" spans="1:16" x14ac:dyDescent="0.45">
      <c r="A255" t="s">
        <v>786</v>
      </c>
      <c r="B255" t="s">
        <v>787</v>
      </c>
      <c r="C255" t="s">
        <v>32</v>
      </c>
      <c r="D255">
        <v>152.75</v>
      </c>
      <c r="E255">
        <v>40.520000000000003</v>
      </c>
      <c r="F255">
        <v>0.96720194999999998</v>
      </c>
      <c r="G255">
        <v>3.72</v>
      </c>
      <c r="H255">
        <v>170.59</v>
      </c>
      <c r="I255">
        <v>111.9</v>
      </c>
      <c r="J255">
        <v>41233771565</v>
      </c>
      <c r="K255">
        <v>1654000000</v>
      </c>
      <c r="L255">
        <v>9.6337309999999992</v>
      </c>
      <c r="M255">
        <v>33.5</v>
      </c>
      <c r="N255" t="s">
        <v>788</v>
      </c>
      <c r="O255">
        <v>41.2</v>
      </c>
      <c r="P255">
        <v>1.7</v>
      </c>
    </row>
    <row r="256" spans="1:16" x14ac:dyDescent="0.45">
      <c r="A256" t="s">
        <v>789</v>
      </c>
      <c r="B256" t="s">
        <v>790</v>
      </c>
      <c r="C256" t="s">
        <v>25</v>
      </c>
      <c r="D256">
        <v>381.87</v>
      </c>
      <c r="E256">
        <v>48.58</v>
      </c>
      <c r="F256">
        <v>0</v>
      </c>
      <c r="G256">
        <v>5.67</v>
      </c>
      <c r="H256">
        <v>452</v>
      </c>
      <c r="I256">
        <v>233.10642999999999</v>
      </c>
      <c r="J256">
        <v>44866621303</v>
      </c>
      <c r="K256">
        <v>1153700000</v>
      </c>
      <c r="L256">
        <v>14.655260999999999</v>
      </c>
      <c r="M256">
        <v>9.48</v>
      </c>
      <c r="N256" t="s">
        <v>791</v>
      </c>
      <c r="O256">
        <v>44.9</v>
      </c>
      <c r="P256">
        <v>1.2</v>
      </c>
    </row>
    <row r="257" spans="1:16" x14ac:dyDescent="0.45">
      <c r="A257" t="s">
        <v>792</v>
      </c>
      <c r="B257" t="s">
        <v>793</v>
      </c>
      <c r="C257" t="s">
        <v>59</v>
      </c>
      <c r="D257">
        <v>31.92</v>
      </c>
      <c r="E257">
        <v>11.87</v>
      </c>
      <c r="F257">
        <v>3.4668260000000002</v>
      </c>
      <c r="G257">
        <v>2.74</v>
      </c>
      <c r="H257">
        <v>38.43</v>
      </c>
      <c r="I257">
        <v>29.36</v>
      </c>
      <c r="J257">
        <v>13620847614</v>
      </c>
      <c r="K257">
        <v>1606200000</v>
      </c>
      <c r="L257">
        <v>2.6513786000000001</v>
      </c>
      <c r="M257">
        <v>1.62</v>
      </c>
      <c r="N257" t="s">
        <v>794</v>
      </c>
      <c r="O257">
        <v>13.6</v>
      </c>
      <c r="P257">
        <v>1.6</v>
      </c>
    </row>
    <row r="258" spans="1:16" x14ac:dyDescent="0.45">
      <c r="A258" t="s">
        <v>795</v>
      </c>
      <c r="B258" t="s">
        <v>796</v>
      </c>
      <c r="C258" t="s">
        <v>25</v>
      </c>
      <c r="D258">
        <v>95.23</v>
      </c>
      <c r="E258">
        <v>21.74</v>
      </c>
      <c r="F258">
        <v>0</v>
      </c>
      <c r="G258">
        <v>0.76</v>
      </c>
      <c r="H258">
        <v>110.67</v>
      </c>
      <c r="I258">
        <v>75.94</v>
      </c>
      <c r="J258">
        <v>20426488713</v>
      </c>
      <c r="K258">
        <v>1542000000</v>
      </c>
      <c r="L258">
        <v>2.8477087000000001</v>
      </c>
      <c r="M258">
        <v>2.77</v>
      </c>
      <c r="N258" t="s">
        <v>797</v>
      </c>
      <c r="O258">
        <v>20.399999999999999</v>
      </c>
      <c r="P258">
        <v>1.5</v>
      </c>
    </row>
    <row r="259" spans="1:16" x14ac:dyDescent="0.45">
      <c r="A259" t="s">
        <v>798</v>
      </c>
      <c r="B259" t="s">
        <v>799</v>
      </c>
      <c r="C259" t="s">
        <v>82</v>
      </c>
      <c r="D259">
        <v>32.07</v>
      </c>
      <c r="E259">
        <v>15.42</v>
      </c>
      <c r="F259">
        <v>7.0825800000000001</v>
      </c>
      <c r="G259">
        <v>0.46</v>
      </c>
      <c r="H259">
        <v>41.53</v>
      </c>
      <c r="I259">
        <v>32.049999999999997</v>
      </c>
      <c r="J259">
        <v>9410249279</v>
      </c>
      <c r="K259">
        <v>1116140000</v>
      </c>
      <c r="L259">
        <v>3.2898626000000002</v>
      </c>
      <c r="M259">
        <v>4.97</v>
      </c>
      <c r="N259" t="s">
        <v>800</v>
      </c>
      <c r="O259">
        <v>9.4</v>
      </c>
      <c r="P259">
        <v>1.1000000000000001</v>
      </c>
    </row>
    <row r="260" spans="1:16" x14ac:dyDescent="0.45">
      <c r="A260" t="s">
        <v>801</v>
      </c>
      <c r="B260" t="s">
        <v>802</v>
      </c>
      <c r="C260" t="s">
        <v>18</v>
      </c>
      <c r="D260">
        <v>114.81</v>
      </c>
      <c r="E260">
        <v>30.62</v>
      </c>
      <c r="F260">
        <v>0.81390419999999997</v>
      </c>
      <c r="G260">
        <v>6.19</v>
      </c>
      <c r="H260">
        <v>126.49</v>
      </c>
      <c r="I260">
        <v>83.35</v>
      </c>
      <c r="J260">
        <v>12945366350</v>
      </c>
      <c r="K260">
        <v>1007309000</v>
      </c>
      <c r="L260">
        <v>1.7697402</v>
      </c>
      <c r="M260">
        <v>8.5500000000000007</v>
      </c>
      <c r="N260" t="s">
        <v>803</v>
      </c>
      <c r="O260">
        <v>12.9</v>
      </c>
      <c r="P260">
        <v>1</v>
      </c>
    </row>
    <row r="261" spans="1:16" x14ac:dyDescent="0.45">
      <c r="A261" t="s">
        <v>804</v>
      </c>
      <c r="B261" t="s">
        <v>805</v>
      </c>
      <c r="C261" t="s">
        <v>18</v>
      </c>
      <c r="D261">
        <v>62.82</v>
      </c>
      <c r="E261">
        <v>19.45</v>
      </c>
      <c r="F261">
        <v>0.90895320000000002</v>
      </c>
      <c r="G261">
        <v>2.4300000000000002</v>
      </c>
      <c r="H261">
        <v>72.180000000000007</v>
      </c>
      <c r="I261">
        <v>49.31</v>
      </c>
      <c r="J261">
        <v>9326484316</v>
      </c>
      <c r="K261">
        <v>409832000</v>
      </c>
      <c r="L261">
        <v>1.2129635999999999</v>
      </c>
      <c r="M261">
        <v>2.0099999999999998</v>
      </c>
      <c r="N261" t="s">
        <v>806</v>
      </c>
      <c r="O261">
        <v>9.3000000000000007</v>
      </c>
      <c r="P261">
        <v>0.4</v>
      </c>
    </row>
    <row r="262" spans="1:16" x14ac:dyDescent="0.45">
      <c r="A262" t="s">
        <v>807</v>
      </c>
      <c r="B262" t="s">
        <v>808</v>
      </c>
      <c r="C262" t="s">
        <v>113</v>
      </c>
      <c r="D262">
        <v>118.37</v>
      </c>
      <c r="E262">
        <v>15.35</v>
      </c>
      <c r="F262">
        <v>2.6036885000000001</v>
      </c>
      <c r="G262">
        <v>5.0999999999999996</v>
      </c>
      <c r="H262">
        <v>143.68</v>
      </c>
      <c r="I262">
        <v>99.564999999999998</v>
      </c>
      <c r="J262">
        <v>13612394896</v>
      </c>
      <c r="K262">
        <v>1411300000</v>
      </c>
      <c r="L262">
        <v>2.496677</v>
      </c>
      <c r="M262">
        <v>1.88</v>
      </c>
      <c r="N262" t="s">
        <v>809</v>
      </c>
      <c r="O262">
        <v>13.6</v>
      </c>
      <c r="P262">
        <v>1.4</v>
      </c>
    </row>
    <row r="263" spans="1:16" x14ac:dyDescent="0.45">
      <c r="A263" t="s">
        <v>810</v>
      </c>
      <c r="B263" t="s">
        <v>811</v>
      </c>
      <c r="C263" t="s">
        <v>25</v>
      </c>
      <c r="D263">
        <v>126.36</v>
      </c>
      <c r="E263">
        <v>17.309999999999999</v>
      </c>
      <c r="F263">
        <v>2.5566884999999999</v>
      </c>
      <c r="G263">
        <v>0.39</v>
      </c>
      <c r="H263">
        <v>148.32</v>
      </c>
      <c r="I263">
        <v>113.15</v>
      </c>
      <c r="J263">
        <v>353062464971</v>
      </c>
      <c r="K263">
        <v>22430000000</v>
      </c>
      <c r="L263">
        <v>4.6326222000000001</v>
      </c>
      <c r="M263">
        <v>4.74</v>
      </c>
      <c r="N263" t="s">
        <v>812</v>
      </c>
      <c r="O263">
        <v>353.1</v>
      </c>
      <c r="P263">
        <v>22.4</v>
      </c>
    </row>
    <row r="264" spans="1:16" x14ac:dyDescent="0.45">
      <c r="A264" t="s">
        <v>813</v>
      </c>
      <c r="B264" t="s">
        <v>814</v>
      </c>
      <c r="C264" t="s">
        <v>18</v>
      </c>
      <c r="D264">
        <v>36.549999999999997</v>
      </c>
      <c r="E264">
        <v>14</v>
      </c>
      <c r="F264">
        <v>2.7659574</v>
      </c>
      <c r="G264">
        <v>1.71</v>
      </c>
      <c r="H264">
        <v>44.37</v>
      </c>
      <c r="I264">
        <v>34.51</v>
      </c>
      <c r="J264">
        <v>34822224800</v>
      </c>
      <c r="K264">
        <v>4295000000</v>
      </c>
      <c r="L264">
        <v>1.1415336</v>
      </c>
      <c r="M264">
        <v>1.69</v>
      </c>
      <c r="N264" t="s">
        <v>815</v>
      </c>
      <c r="O264">
        <v>34.799999999999997</v>
      </c>
      <c r="P264">
        <v>4.3</v>
      </c>
    </row>
    <row r="265" spans="1:16" x14ac:dyDescent="0.45">
      <c r="A265" t="s">
        <v>816</v>
      </c>
      <c r="B265" t="s">
        <v>817</v>
      </c>
      <c r="C265" t="s">
        <v>59</v>
      </c>
      <c r="D265">
        <v>107.88</v>
      </c>
      <c r="E265">
        <v>15.43</v>
      </c>
      <c r="F265">
        <v>1.9845841</v>
      </c>
      <c r="G265">
        <v>6.3</v>
      </c>
      <c r="H265">
        <v>117.35290000000001</v>
      </c>
      <c r="I265">
        <v>81.635000000000005</v>
      </c>
      <c r="J265">
        <v>386613611000</v>
      </c>
      <c r="K265">
        <v>0</v>
      </c>
      <c r="L265">
        <v>3.3714993</v>
      </c>
      <c r="M265">
        <v>1.6</v>
      </c>
      <c r="N265" t="s">
        <v>818</v>
      </c>
      <c r="O265">
        <v>386.6</v>
      </c>
      <c r="P265">
        <v>0</v>
      </c>
    </row>
    <row r="266" spans="1:16" x14ac:dyDescent="0.45">
      <c r="A266" t="s">
        <v>819</v>
      </c>
      <c r="B266" t="s">
        <v>820</v>
      </c>
      <c r="C266" t="s">
        <v>32</v>
      </c>
      <c r="D266">
        <v>24.66</v>
      </c>
      <c r="E266">
        <v>14.09</v>
      </c>
      <c r="F266">
        <v>1.5754234</v>
      </c>
      <c r="G266">
        <v>0.78</v>
      </c>
      <c r="H266">
        <v>30.96</v>
      </c>
      <c r="I266">
        <v>23.87</v>
      </c>
      <c r="J266">
        <v>9267350000</v>
      </c>
      <c r="K266">
        <v>1115500000</v>
      </c>
      <c r="L266">
        <v>1.8543326</v>
      </c>
      <c r="M266">
        <v>1.78</v>
      </c>
      <c r="N266" t="s">
        <v>821</v>
      </c>
      <c r="O266">
        <v>9.3000000000000007</v>
      </c>
      <c r="P266">
        <v>1.1000000000000001</v>
      </c>
    </row>
    <row r="267" spans="1:16" x14ac:dyDescent="0.45">
      <c r="A267" t="s">
        <v>822</v>
      </c>
      <c r="B267" t="s">
        <v>823</v>
      </c>
      <c r="C267" t="s">
        <v>18</v>
      </c>
      <c r="D267">
        <v>103.53</v>
      </c>
      <c r="E267">
        <v>19.8</v>
      </c>
      <c r="F267">
        <v>1.3445379</v>
      </c>
      <c r="G267">
        <v>9.16</v>
      </c>
      <c r="H267">
        <v>114.85</v>
      </c>
      <c r="I267">
        <v>81.540000000000006</v>
      </c>
      <c r="J267">
        <v>11037040988</v>
      </c>
      <c r="K267">
        <v>1295400000</v>
      </c>
      <c r="L267">
        <v>4.2818969999999998</v>
      </c>
      <c r="M267">
        <v>2.39</v>
      </c>
      <c r="N267" t="s">
        <v>824</v>
      </c>
      <c r="O267">
        <v>11</v>
      </c>
      <c r="P267">
        <v>1.3</v>
      </c>
    </row>
    <row r="268" spans="1:16" x14ac:dyDescent="0.45">
      <c r="A268" t="s">
        <v>825</v>
      </c>
      <c r="B268" t="s">
        <v>826</v>
      </c>
      <c r="C268" t="s">
        <v>113</v>
      </c>
      <c r="D268">
        <v>65.98</v>
      </c>
      <c r="E268">
        <v>16.5</v>
      </c>
      <c r="F268">
        <v>3.3639619999999999</v>
      </c>
      <c r="G268">
        <v>1.95</v>
      </c>
      <c r="H268">
        <v>76.69</v>
      </c>
      <c r="I268">
        <v>58.76</v>
      </c>
      <c r="J268">
        <v>22182794875</v>
      </c>
      <c r="K268">
        <v>1827000000</v>
      </c>
      <c r="L268">
        <v>2.3173764000000001</v>
      </c>
      <c r="M268">
        <v>11.5</v>
      </c>
      <c r="N268" t="s">
        <v>827</v>
      </c>
      <c r="O268">
        <v>22.2</v>
      </c>
      <c r="P268">
        <v>1.8</v>
      </c>
    </row>
    <row r="269" spans="1:16" x14ac:dyDescent="0.45">
      <c r="A269" t="s">
        <v>828</v>
      </c>
      <c r="B269" t="s">
        <v>829</v>
      </c>
      <c r="C269" t="s">
        <v>59</v>
      </c>
      <c r="D269">
        <v>20.079999999999998</v>
      </c>
      <c r="E269">
        <v>14.66</v>
      </c>
      <c r="F269">
        <v>1.9876952000000001</v>
      </c>
      <c r="G269">
        <v>1.1200000000000001</v>
      </c>
      <c r="H269">
        <v>22.22</v>
      </c>
      <c r="I269">
        <v>16.28</v>
      </c>
      <c r="J269">
        <v>22589744920</v>
      </c>
      <c r="K269">
        <v>0</v>
      </c>
      <c r="L269">
        <v>3.270451</v>
      </c>
      <c r="M269">
        <v>1.55</v>
      </c>
      <c r="N269" t="s">
        <v>830</v>
      </c>
      <c r="O269">
        <v>22.6</v>
      </c>
      <c r="P269">
        <v>0</v>
      </c>
    </row>
    <row r="270" spans="1:16" x14ac:dyDescent="0.45">
      <c r="A270" t="s">
        <v>831</v>
      </c>
      <c r="B270" t="s">
        <v>832</v>
      </c>
      <c r="C270" t="s">
        <v>113</v>
      </c>
      <c r="D270">
        <v>111.69</v>
      </c>
      <c r="E270">
        <v>17.93</v>
      </c>
      <c r="F270">
        <v>3.5599859</v>
      </c>
      <c r="G270">
        <v>6.41</v>
      </c>
      <c r="H270">
        <v>136.21</v>
      </c>
      <c r="I270">
        <v>109.67</v>
      </c>
      <c r="J270">
        <v>39449596000</v>
      </c>
      <c r="K270">
        <v>4033000000</v>
      </c>
      <c r="L270">
        <v>2.1947836999999999</v>
      </c>
      <c r="M270">
        <v>151.66</v>
      </c>
      <c r="N270" t="s">
        <v>833</v>
      </c>
      <c r="O270">
        <v>39.4</v>
      </c>
      <c r="P270">
        <v>4</v>
      </c>
    </row>
    <row r="271" spans="1:16" x14ac:dyDescent="0.45">
      <c r="A271" t="s">
        <v>834</v>
      </c>
      <c r="B271" t="s">
        <v>835</v>
      </c>
      <c r="C271" t="s">
        <v>82</v>
      </c>
      <c r="D271">
        <v>14.01</v>
      </c>
      <c r="E271">
        <v>9.2799999999999994</v>
      </c>
      <c r="F271">
        <v>7.7134986000000003</v>
      </c>
      <c r="G271">
        <v>0.8</v>
      </c>
      <c r="H271">
        <v>25.15</v>
      </c>
      <c r="I271">
        <v>14.33</v>
      </c>
      <c r="J271">
        <v>6180487499</v>
      </c>
      <c r="K271">
        <v>701190000</v>
      </c>
      <c r="L271">
        <v>7.0508943000000004</v>
      </c>
      <c r="M271">
        <v>1.2</v>
      </c>
      <c r="N271" t="s">
        <v>836</v>
      </c>
      <c r="O271">
        <v>6.2</v>
      </c>
      <c r="P271">
        <v>0.7</v>
      </c>
    </row>
    <row r="272" spans="1:16" x14ac:dyDescent="0.45">
      <c r="A272" t="s">
        <v>837</v>
      </c>
      <c r="B272" t="s">
        <v>838</v>
      </c>
      <c r="C272" t="s">
        <v>156</v>
      </c>
      <c r="D272">
        <v>16.8</v>
      </c>
      <c r="E272">
        <v>25.07</v>
      </c>
      <c r="F272">
        <v>2.891845</v>
      </c>
      <c r="G272">
        <v>0.01</v>
      </c>
      <c r="H272">
        <v>22.75</v>
      </c>
      <c r="I272">
        <v>16.559999999999999</v>
      </c>
      <c r="J272">
        <v>38612712234</v>
      </c>
      <c r="K272">
        <v>5981000000</v>
      </c>
      <c r="L272">
        <v>2.8239359999999998</v>
      </c>
      <c r="M272">
        <v>1.07</v>
      </c>
      <c r="N272" t="s">
        <v>839</v>
      </c>
      <c r="O272">
        <v>38.6</v>
      </c>
      <c r="P272">
        <v>6</v>
      </c>
    </row>
    <row r="273" spans="1:16" x14ac:dyDescent="0.45">
      <c r="A273" t="s">
        <v>840</v>
      </c>
      <c r="B273" t="s">
        <v>841</v>
      </c>
      <c r="C273" t="s">
        <v>32</v>
      </c>
      <c r="D273">
        <v>98.54</v>
      </c>
      <c r="E273">
        <v>16.59</v>
      </c>
      <c r="F273">
        <v>2.2988504999999999</v>
      </c>
      <c r="G273">
        <v>5.88</v>
      </c>
      <c r="H273">
        <v>121.65</v>
      </c>
      <c r="I273">
        <v>86.33</v>
      </c>
      <c r="J273">
        <v>16078622033</v>
      </c>
      <c r="K273">
        <v>1506642000</v>
      </c>
      <c r="L273">
        <v>4.3395862999999997</v>
      </c>
      <c r="M273">
        <v>12.93</v>
      </c>
      <c r="N273" t="s">
        <v>842</v>
      </c>
      <c r="O273">
        <v>16.100000000000001</v>
      </c>
      <c r="P273">
        <v>1.5</v>
      </c>
    </row>
    <row r="274" spans="1:16" x14ac:dyDescent="0.45">
      <c r="A274" t="s">
        <v>843</v>
      </c>
      <c r="B274" t="s">
        <v>844</v>
      </c>
      <c r="C274" t="s">
        <v>45</v>
      </c>
      <c r="D274">
        <v>60.34</v>
      </c>
      <c r="E274">
        <v>16.010000000000002</v>
      </c>
      <c r="F274">
        <v>3.4965036</v>
      </c>
      <c r="G274">
        <v>3.12</v>
      </c>
      <c r="H274">
        <v>69.14</v>
      </c>
      <c r="I274">
        <v>35.159999999999997</v>
      </c>
      <c r="J274">
        <v>10570861198</v>
      </c>
      <c r="K274">
        <v>2286000000</v>
      </c>
      <c r="L274">
        <v>0.85577570000000003</v>
      </c>
      <c r="M274">
        <v>2.04</v>
      </c>
      <c r="N274" t="s">
        <v>845</v>
      </c>
      <c r="O274">
        <v>10.6</v>
      </c>
      <c r="P274">
        <v>2.2999999999999998</v>
      </c>
    </row>
    <row r="275" spans="1:16" x14ac:dyDescent="0.45">
      <c r="A275" t="s">
        <v>846</v>
      </c>
      <c r="B275" t="s">
        <v>847</v>
      </c>
      <c r="C275" t="s">
        <v>113</v>
      </c>
      <c r="D275">
        <v>71.58</v>
      </c>
      <c r="E275">
        <v>20.11</v>
      </c>
      <c r="F275">
        <v>3.3990483</v>
      </c>
      <c r="G275">
        <v>2.81</v>
      </c>
      <c r="H275">
        <v>97.77</v>
      </c>
      <c r="I275">
        <v>72.05</v>
      </c>
      <c r="J275">
        <v>89618309338</v>
      </c>
      <c r="K275">
        <v>7832000000</v>
      </c>
      <c r="L275">
        <v>4.6780853000000002</v>
      </c>
      <c r="M275">
        <v>1.54</v>
      </c>
      <c r="N275" t="s">
        <v>848</v>
      </c>
      <c r="O275">
        <v>89.6</v>
      </c>
      <c r="P275">
        <v>7.8</v>
      </c>
    </row>
    <row r="276" spans="1:16" x14ac:dyDescent="0.45">
      <c r="A276" t="s">
        <v>849</v>
      </c>
      <c r="B276" t="s">
        <v>850</v>
      </c>
      <c r="C276" t="s">
        <v>113</v>
      </c>
      <c r="D276">
        <v>27.57</v>
      </c>
      <c r="E276">
        <v>13.07</v>
      </c>
      <c r="F276">
        <v>1.7301039</v>
      </c>
      <c r="G276">
        <v>2.0499999999999998</v>
      </c>
      <c r="H276">
        <v>34.75</v>
      </c>
      <c r="I276">
        <v>19.690000000000001</v>
      </c>
      <c r="J276">
        <v>25471355847</v>
      </c>
      <c r="K276">
        <v>5342000000</v>
      </c>
      <c r="L276">
        <v>0.27961262999999997</v>
      </c>
      <c r="M276">
        <v>4.0199999999999996</v>
      </c>
      <c r="N276" t="s">
        <v>851</v>
      </c>
      <c r="O276">
        <v>25.5</v>
      </c>
      <c r="P276">
        <v>5.3</v>
      </c>
    </row>
    <row r="277" spans="1:16" x14ac:dyDescent="0.45">
      <c r="A277" t="s">
        <v>852</v>
      </c>
      <c r="B277" t="s">
        <v>853</v>
      </c>
      <c r="C277" t="s">
        <v>45</v>
      </c>
      <c r="D277">
        <v>47.77</v>
      </c>
      <c r="E277">
        <v>12.77</v>
      </c>
      <c r="F277">
        <v>4.8869879999999997</v>
      </c>
      <c r="G277">
        <v>3.98</v>
      </c>
      <c r="H277">
        <v>63.1</v>
      </c>
      <c r="I277">
        <v>35</v>
      </c>
      <c r="J277">
        <v>13862042842</v>
      </c>
      <c r="K277">
        <v>2329000000</v>
      </c>
      <c r="L277">
        <v>1.7060976999999999</v>
      </c>
      <c r="M277">
        <v>1403.38</v>
      </c>
      <c r="N277" t="s">
        <v>854</v>
      </c>
      <c r="O277">
        <v>13.9</v>
      </c>
      <c r="P277">
        <v>2.2999999999999998</v>
      </c>
    </row>
    <row r="278" spans="1:16" x14ac:dyDescent="0.45">
      <c r="A278" t="s">
        <v>855</v>
      </c>
      <c r="B278" t="s">
        <v>856</v>
      </c>
      <c r="C278" t="s">
        <v>18</v>
      </c>
      <c r="D278">
        <v>198.79</v>
      </c>
      <c r="E278">
        <v>23.14</v>
      </c>
      <c r="F278">
        <v>1.4444604999999999</v>
      </c>
      <c r="G278">
        <v>8.51</v>
      </c>
      <c r="H278">
        <v>218.70500000000001</v>
      </c>
      <c r="I278">
        <v>159.43</v>
      </c>
      <c r="J278">
        <v>16229343134</v>
      </c>
      <c r="K278">
        <v>1137000000</v>
      </c>
      <c r="L278">
        <v>1.4884603999999999</v>
      </c>
      <c r="M278">
        <v>3.12</v>
      </c>
      <c r="N278" t="s">
        <v>857</v>
      </c>
      <c r="O278">
        <v>16.2</v>
      </c>
      <c r="P278">
        <v>1.1000000000000001</v>
      </c>
    </row>
    <row r="279" spans="1:16" x14ac:dyDescent="0.45">
      <c r="A279" t="s">
        <v>858</v>
      </c>
      <c r="B279" t="s">
        <v>859</v>
      </c>
      <c r="C279" t="s">
        <v>25</v>
      </c>
      <c r="D279">
        <v>165.46</v>
      </c>
      <c r="E279">
        <v>17.79</v>
      </c>
      <c r="F279">
        <v>0</v>
      </c>
      <c r="G279">
        <v>7.02</v>
      </c>
      <c r="H279">
        <v>181.715</v>
      </c>
      <c r="I279">
        <v>130.292</v>
      </c>
      <c r="J279">
        <v>17271388000</v>
      </c>
      <c r="K279">
        <v>1861200000</v>
      </c>
      <c r="L279">
        <v>2.2459623999999998</v>
      </c>
      <c r="M279">
        <v>2.71</v>
      </c>
      <c r="N279" t="s">
        <v>860</v>
      </c>
      <c r="O279">
        <v>17.3</v>
      </c>
      <c r="P279">
        <v>1.9</v>
      </c>
    </row>
    <row r="280" spans="1:16" x14ac:dyDescent="0.45">
      <c r="A280" t="s">
        <v>861</v>
      </c>
      <c r="B280" t="s">
        <v>862</v>
      </c>
      <c r="C280" t="s">
        <v>32</v>
      </c>
      <c r="D280">
        <v>162.22999999999999</v>
      </c>
      <c r="E280">
        <v>16.29</v>
      </c>
      <c r="F280">
        <v>1.1652974</v>
      </c>
      <c r="G280">
        <v>9.2200000000000006</v>
      </c>
      <c r="H280">
        <v>219.7</v>
      </c>
      <c r="I280">
        <v>113.1982</v>
      </c>
      <c r="J280">
        <v>27967534829</v>
      </c>
      <c r="K280">
        <v>2967218000</v>
      </c>
      <c r="L280">
        <v>3.0405293000000002</v>
      </c>
      <c r="M280">
        <v>4.5199999999999996</v>
      </c>
      <c r="N280" t="s">
        <v>863</v>
      </c>
      <c r="O280">
        <v>28</v>
      </c>
      <c r="P280">
        <v>3</v>
      </c>
    </row>
    <row r="281" spans="1:16" x14ac:dyDescent="0.45">
      <c r="A281" t="s">
        <v>864</v>
      </c>
      <c r="B281" t="s">
        <v>865</v>
      </c>
      <c r="C281" t="s">
        <v>45</v>
      </c>
      <c r="D281">
        <v>43.99</v>
      </c>
      <c r="E281">
        <v>17.88</v>
      </c>
      <c r="F281">
        <v>3.1454784999999998</v>
      </c>
      <c r="G281">
        <v>2.76</v>
      </c>
      <c r="H281">
        <v>54.97</v>
      </c>
      <c r="I281">
        <v>42</v>
      </c>
      <c r="J281">
        <v>6034600480</v>
      </c>
      <c r="K281">
        <v>447000000</v>
      </c>
      <c r="L281">
        <v>2.0302901000000002</v>
      </c>
      <c r="M281">
        <v>4.8899999999999997</v>
      </c>
      <c r="N281" t="s">
        <v>866</v>
      </c>
      <c r="O281">
        <v>6</v>
      </c>
      <c r="P281">
        <v>0.4</v>
      </c>
    </row>
    <row r="282" spans="1:16" x14ac:dyDescent="0.45">
      <c r="A282" t="s">
        <v>867</v>
      </c>
      <c r="B282" t="s">
        <v>868</v>
      </c>
      <c r="C282" t="s">
        <v>45</v>
      </c>
      <c r="D282">
        <v>59.11</v>
      </c>
      <c r="E282">
        <v>15.35</v>
      </c>
      <c r="F282">
        <v>0.26268265000000002</v>
      </c>
      <c r="G282">
        <v>3.38</v>
      </c>
      <c r="H282">
        <v>72.17</v>
      </c>
      <c r="I282">
        <v>43.647053</v>
      </c>
      <c r="J282">
        <v>14615967194</v>
      </c>
      <c r="K282">
        <v>1405319000</v>
      </c>
      <c r="L282">
        <v>1.1468263999999999</v>
      </c>
      <c r="M282">
        <v>1.76</v>
      </c>
      <c r="N282" t="s">
        <v>869</v>
      </c>
      <c r="O282">
        <v>14.6</v>
      </c>
      <c r="P282">
        <v>1.4</v>
      </c>
    </row>
    <row r="283" spans="1:16" x14ac:dyDescent="0.45">
      <c r="A283" t="s">
        <v>870</v>
      </c>
      <c r="B283" t="s">
        <v>871</v>
      </c>
      <c r="C283" t="s">
        <v>59</v>
      </c>
      <c r="D283">
        <v>23.86</v>
      </c>
      <c r="E283">
        <v>15.39</v>
      </c>
      <c r="F283">
        <v>1.5993602</v>
      </c>
      <c r="G283">
        <v>0.33</v>
      </c>
      <c r="H283">
        <v>28.3</v>
      </c>
      <c r="I283">
        <v>22.23</v>
      </c>
      <c r="J283">
        <v>8910389431</v>
      </c>
      <c r="K283">
        <v>2201336000</v>
      </c>
      <c r="L283">
        <v>1.0410155999999999</v>
      </c>
      <c r="M283">
        <v>0.84</v>
      </c>
      <c r="N283" t="s">
        <v>872</v>
      </c>
      <c r="O283">
        <v>8.9</v>
      </c>
      <c r="P283">
        <v>2.2000000000000002</v>
      </c>
    </row>
    <row r="284" spans="1:16" x14ac:dyDescent="0.45">
      <c r="A284" t="s">
        <v>873</v>
      </c>
      <c r="B284" t="s">
        <v>874</v>
      </c>
      <c r="C284" t="s">
        <v>25</v>
      </c>
      <c r="D284">
        <v>74.209999999999994</v>
      </c>
      <c r="E284">
        <v>17.34</v>
      </c>
      <c r="F284">
        <v>2.9327424</v>
      </c>
      <c r="G284">
        <v>-0.2</v>
      </c>
      <c r="H284">
        <v>89.09</v>
      </c>
      <c r="I284">
        <v>75.709999999999994</v>
      </c>
      <c r="J284">
        <v>84475986228</v>
      </c>
      <c r="K284">
        <v>3459800000</v>
      </c>
      <c r="L284">
        <v>3.7546780000000002</v>
      </c>
      <c r="M284">
        <v>5.73</v>
      </c>
      <c r="N284" t="s">
        <v>875</v>
      </c>
      <c r="O284">
        <v>84.5</v>
      </c>
      <c r="P284">
        <v>3.5</v>
      </c>
    </row>
    <row r="285" spans="1:16" x14ac:dyDescent="0.45">
      <c r="A285" t="s">
        <v>876</v>
      </c>
      <c r="B285" t="s">
        <v>877</v>
      </c>
      <c r="C285" t="s">
        <v>59</v>
      </c>
      <c r="D285">
        <v>73.86</v>
      </c>
      <c r="E285">
        <v>9.49</v>
      </c>
      <c r="F285">
        <v>1.6813145</v>
      </c>
      <c r="G285">
        <v>9.24</v>
      </c>
      <c r="H285">
        <v>86.68</v>
      </c>
      <c r="I285">
        <v>61.45</v>
      </c>
      <c r="J285">
        <v>17123031000</v>
      </c>
      <c r="K285">
        <v>0</v>
      </c>
      <c r="L285">
        <v>1.2019439999999999</v>
      </c>
      <c r="M285">
        <v>1.04</v>
      </c>
      <c r="N285" t="s">
        <v>878</v>
      </c>
      <c r="O285">
        <v>17.100000000000001</v>
      </c>
      <c r="P285">
        <v>0</v>
      </c>
    </row>
    <row r="286" spans="1:16" x14ac:dyDescent="0.45">
      <c r="A286" t="s">
        <v>879</v>
      </c>
      <c r="B286" t="s">
        <v>880</v>
      </c>
      <c r="C286" t="s">
        <v>45</v>
      </c>
      <c r="D286">
        <v>38.86</v>
      </c>
      <c r="E286">
        <v>21.35</v>
      </c>
      <c r="F286">
        <v>0</v>
      </c>
      <c r="G286">
        <v>1.5</v>
      </c>
      <c r="H286">
        <v>43.859900000000003</v>
      </c>
      <c r="I286">
        <v>27.85</v>
      </c>
      <c r="J286">
        <v>12469931896</v>
      </c>
      <c r="K286">
        <v>1065614000</v>
      </c>
      <c r="L286">
        <v>1.7236089999999999</v>
      </c>
      <c r="M286">
        <v>3.02</v>
      </c>
      <c r="N286" t="s">
        <v>881</v>
      </c>
      <c r="O286">
        <v>12.5</v>
      </c>
      <c r="P286">
        <v>1.1000000000000001</v>
      </c>
    </row>
    <row r="287" spans="1:16" x14ac:dyDescent="0.45">
      <c r="A287" t="s">
        <v>882</v>
      </c>
      <c r="B287" t="s">
        <v>883</v>
      </c>
      <c r="C287" t="s">
        <v>18</v>
      </c>
      <c r="D287">
        <v>334.3</v>
      </c>
      <c r="E287">
        <v>24.28</v>
      </c>
      <c r="F287">
        <v>2.3159540000000001</v>
      </c>
      <c r="G287">
        <v>6.83</v>
      </c>
      <c r="H287">
        <v>361.79</v>
      </c>
      <c r="I287">
        <v>256.39999999999998</v>
      </c>
      <c r="J287">
        <v>98102120000</v>
      </c>
      <c r="K287">
        <v>7115000000</v>
      </c>
      <c r="L287">
        <v>1.8781451</v>
      </c>
      <c r="M287">
        <v>45.55</v>
      </c>
      <c r="N287" t="s">
        <v>884</v>
      </c>
      <c r="O287">
        <v>98.1</v>
      </c>
      <c r="P287">
        <v>7.1</v>
      </c>
    </row>
    <row r="288" spans="1:16" x14ac:dyDescent="0.45">
      <c r="A288" t="s">
        <v>885</v>
      </c>
      <c r="B288" t="s">
        <v>886</v>
      </c>
      <c r="C288" t="s">
        <v>59</v>
      </c>
      <c r="D288">
        <v>46.05</v>
      </c>
      <c r="E288">
        <v>15.99</v>
      </c>
      <c r="F288">
        <v>4.5131636000000004</v>
      </c>
      <c r="G288">
        <v>1.93</v>
      </c>
      <c r="H288">
        <v>53.59</v>
      </c>
      <c r="I288">
        <v>45.01</v>
      </c>
      <c r="J288">
        <v>16111166935</v>
      </c>
      <c r="K288">
        <v>0</v>
      </c>
      <c r="L288">
        <v>1.5809761</v>
      </c>
      <c r="M288">
        <v>0.85</v>
      </c>
      <c r="N288" t="s">
        <v>887</v>
      </c>
      <c r="O288">
        <v>16.100000000000001</v>
      </c>
      <c r="P288">
        <v>0</v>
      </c>
    </row>
    <row r="289" spans="1:16" x14ac:dyDescent="0.45">
      <c r="A289" t="s">
        <v>888</v>
      </c>
      <c r="B289" t="s">
        <v>889</v>
      </c>
      <c r="C289" t="s">
        <v>45</v>
      </c>
      <c r="D289">
        <v>95.01</v>
      </c>
      <c r="E289">
        <v>23.87</v>
      </c>
      <c r="F289">
        <v>1.6413131000000001</v>
      </c>
      <c r="G289">
        <v>3.46</v>
      </c>
      <c r="H289">
        <v>108.98</v>
      </c>
      <c r="I289">
        <v>70.760000000000005</v>
      </c>
      <c r="J289">
        <v>82909678852</v>
      </c>
      <c r="K289">
        <v>7858000000</v>
      </c>
      <c r="L289">
        <v>1.5653383999999999</v>
      </c>
      <c r="M289">
        <v>14.1</v>
      </c>
      <c r="N289" t="s">
        <v>890</v>
      </c>
      <c r="O289">
        <v>82.9</v>
      </c>
      <c r="P289">
        <v>7.9</v>
      </c>
    </row>
    <row r="290" spans="1:16" x14ac:dyDescent="0.45">
      <c r="A290" t="s">
        <v>891</v>
      </c>
      <c r="B290" t="s">
        <v>892</v>
      </c>
      <c r="C290" t="s">
        <v>69</v>
      </c>
      <c r="D290">
        <v>105.79</v>
      </c>
      <c r="E290">
        <v>10.35</v>
      </c>
      <c r="F290">
        <v>3.2647140000000001</v>
      </c>
      <c r="G290">
        <v>12.25</v>
      </c>
      <c r="H290">
        <v>121.95</v>
      </c>
      <c r="I290">
        <v>78.010000000000005</v>
      </c>
      <c r="J290">
        <v>43556650000</v>
      </c>
      <c r="K290">
        <v>6851000000</v>
      </c>
      <c r="L290">
        <v>1.3037612000000001</v>
      </c>
      <c r="M290">
        <v>5.86</v>
      </c>
      <c r="N290" t="s">
        <v>893</v>
      </c>
      <c r="O290">
        <v>43.6</v>
      </c>
      <c r="P290">
        <v>6.9</v>
      </c>
    </row>
    <row r="291" spans="1:16" x14ac:dyDescent="0.45">
      <c r="A291" t="s">
        <v>894</v>
      </c>
      <c r="B291" t="s">
        <v>895</v>
      </c>
      <c r="C291" t="s">
        <v>59</v>
      </c>
      <c r="D291">
        <v>178.35</v>
      </c>
      <c r="E291">
        <v>18.91</v>
      </c>
      <c r="F291">
        <v>1.6218846</v>
      </c>
      <c r="G291">
        <v>8.69</v>
      </c>
      <c r="H291">
        <v>193.85</v>
      </c>
      <c r="I291">
        <v>141.12</v>
      </c>
      <c r="J291">
        <v>27840827434</v>
      </c>
      <c r="K291">
        <v>0</v>
      </c>
      <c r="L291">
        <v>4.6277885000000003</v>
      </c>
      <c r="M291">
        <v>1.79</v>
      </c>
      <c r="N291" t="s">
        <v>896</v>
      </c>
      <c r="O291">
        <v>27.8</v>
      </c>
      <c r="P291">
        <v>0</v>
      </c>
    </row>
    <row r="292" spans="1:16" x14ac:dyDescent="0.45">
      <c r="A292" t="s">
        <v>897</v>
      </c>
      <c r="B292" t="s">
        <v>898</v>
      </c>
      <c r="C292" t="s">
        <v>82</v>
      </c>
      <c r="D292">
        <v>58.36</v>
      </c>
      <c r="E292">
        <v>14.81</v>
      </c>
      <c r="F292">
        <v>4.9177603999999997</v>
      </c>
      <c r="G292">
        <v>3.43</v>
      </c>
      <c r="H292">
        <v>69.73</v>
      </c>
      <c r="I292">
        <v>52.12</v>
      </c>
      <c r="J292">
        <v>8473119166</v>
      </c>
      <c r="K292">
        <v>503183000</v>
      </c>
      <c r="L292">
        <v>11.394876999999999</v>
      </c>
      <c r="M292">
        <v>2.2400000000000002</v>
      </c>
      <c r="N292" t="s">
        <v>899</v>
      </c>
      <c r="O292">
        <v>8.5</v>
      </c>
      <c r="P292">
        <v>0.5</v>
      </c>
    </row>
    <row r="293" spans="1:16" x14ac:dyDescent="0.45">
      <c r="A293" t="s">
        <v>900</v>
      </c>
      <c r="B293" t="s">
        <v>901</v>
      </c>
      <c r="C293" t="s">
        <v>45</v>
      </c>
      <c r="D293">
        <v>24</v>
      </c>
      <c r="E293">
        <v>7.67</v>
      </c>
      <c r="F293">
        <v>6.0985459999999998</v>
      </c>
      <c r="G293">
        <v>1.98</v>
      </c>
      <c r="H293">
        <v>33.729999999999997</v>
      </c>
      <c r="I293">
        <v>17.405000000000001</v>
      </c>
      <c r="J293">
        <v>7541063495</v>
      </c>
      <c r="K293">
        <v>2446000000</v>
      </c>
      <c r="L293">
        <v>0.45503208000000001</v>
      </c>
      <c r="M293">
        <v>1.69</v>
      </c>
      <c r="N293" t="s">
        <v>902</v>
      </c>
      <c r="O293">
        <v>7.5</v>
      </c>
      <c r="P293">
        <v>2.4</v>
      </c>
    </row>
    <row r="294" spans="1:16" x14ac:dyDescent="0.45">
      <c r="A294" t="s">
        <v>903</v>
      </c>
      <c r="B294" t="s">
        <v>904</v>
      </c>
      <c r="C294" t="s">
        <v>156</v>
      </c>
      <c r="D294">
        <v>15.68</v>
      </c>
      <c r="E294">
        <v>-32</v>
      </c>
      <c r="F294">
        <v>1.2247398</v>
      </c>
      <c r="G294">
        <v>-2.65</v>
      </c>
      <c r="H294">
        <v>19.52</v>
      </c>
      <c r="I294">
        <v>10.55</v>
      </c>
      <c r="J294">
        <v>13875005314</v>
      </c>
      <c r="K294">
        <v>2266000000</v>
      </c>
      <c r="L294">
        <v>4.6578755000000003</v>
      </c>
      <c r="N294" t="s">
        <v>905</v>
      </c>
      <c r="O294">
        <v>13.9</v>
      </c>
      <c r="P294">
        <v>2.2999999999999998</v>
      </c>
    </row>
    <row r="295" spans="1:16" x14ac:dyDescent="0.45">
      <c r="A295" t="s">
        <v>906</v>
      </c>
      <c r="B295" t="s">
        <v>907</v>
      </c>
      <c r="C295" t="s">
        <v>156</v>
      </c>
      <c r="D295">
        <v>62.79</v>
      </c>
      <c r="E295">
        <v>16.059999999999999</v>
      </c>
      <c r="F295">
        <v>2.8268551999999998</v>
      </c>
      <c r="G295">
        <v>6.85</v>
      </c>
      <c r="H295">
        <v>73.53</v>
      </c>
      <c r="I295">
        <v>47.39</v>
      </c>
      <c r="J295">
        <v>31633740000</v>
      </c>
      <c r="K295">
        <v>5978000000</v>
      </c>
      <c r="L295">
        <v>0.42713487</v>
      </c>
      <c r="M295">
        <v>2.4300000000000002</v>
      </c>
      <c r="N295" t="s">
        <v>908</v>
      </c>
      <c r="O295">
        <v>31.6</v>
      </c>
      <c r="P295">
        <v>6</v>
      </c>
    </row>
    <row r="296" spans="1:16" x14ac:dyDescent="0.45">
      <c r="A296" t="s">
        <v>909</v>
      </c>
      <c r="B296" t="s">
        <v>910</v>
      </c>
      <c r="C296" t="s">
        <v>45</v>
      </c>
      <c r="D296">
        <v>133.88</v>
      </c>
      <c r="E296">
        <v>32.729999999999997</v>
      </c>
      <c r="F296">
        <v>0.94528789999999996</v>
      </c>
      <c r="G296">
        <v>2.67</v>
      </c>
      <c r="H296">
        <v>149.21</v>
      </c>
      <c r="I296">
        <v>85.372500000000002</v>
      </c>
      <c r="J296">
        <v>50910130358</v>
      </c>
      <c r="K296">
        <v>2620000000</v>
      </c>
      <c r="L296">
        <v>2.9997248999999999</v>
      </c>
      <c r="M296">
        <v>11.02</v>
      </c>
      <c r="N296" t="s">
        <v>911</v>
      </c>
      <c r="O296">
        <v>50.9</v>
      </c>
      <c r="P296">
        <v>2.6</v>
      </c>
    </row>
    <row r="297" spans="1:16" x14ac:dyDescent="0.45">
      <c r="A297" t="s">
        <v>912</v>
      </c>
      <c r="B297" t="s">
        <v>913</v>
      </c>
      <c r="C297" t="s">
        <v>59</v>
      </c>
      <c r="D297">
        <v>79.31</v>
      </c>
      <c r="E297">
        <v>20.23</v>
      </c>
      <c r="F297">
        <v>1.8257059</v>
      </c>
      <c r="G297">
        <v>2.87</v>
      </c>
      <c r="H297">
        <v>86.54</v>
      </c>
      <c r="I297">
        <v>69.33</v>
      </c>
      <c r="J297">
        <v>41819440000</v>
      </c>
      <c r="K297">
        <v>3236000000</v>
      </c>
      <c r="L297">
        <v>2.9848944999999998</v>
      </c>
      <c r="M297">
        <v>5.85</v>
      </c>
      <c r="N297" t="s">
        <v>914</v>
      </c>
      <c r="O297">
        <v>41.8</v>
      </c>
      <c r="P297">
        <v>3.2</v>
      </c>
    </row>
    <row r="298" spans="1:16" x14ac:dyDescent="0.45">
      <c r="A298" t="s">
        <v>915</v>
      </c>
      <c r="B298" t="s">
        <v>916</v>
      </c>
      <c r="C298" t="s">
        <v>69</v>
      </c>
      <c r="D298">
        <v>208.42</v>
      </c>
      <c r="E298">
        <v>30.38</v>
      </c>
      <c r="F298">
        <v>0.80420380000000002</v>
      </c>
      <c r="G298">
        <v>6.63</v>
      </c>
      <c r="H298">
        <v>244.32</v>
      </c>
      <c r="I298">
        <v>191.09</v>
      </c>
      <c r="J298">
        <v>13756812736</v>
      </c>
      <c r="K298">
        <v>975223000</v>
      </c>
      <c r="L298">
        <v>4.4169980000000004</v>
      </c>
      <c r="M298">
        <v>3.03</v>
      </c>
      <c r="N298" t="s">
        <v>917</v>
      </c>
      <c r="O298">
        <v>13.8</v>
      </c>
      <c r="P298">
        <v>1</v>
      </c>
    </row>
    <row r="299" spans="1:16" x14ac:dyDescent="0.45">
      <c r="A299" t="s">
        <v>918</v>
      </c>
      <c r="B299" t="s">
        <v>919</v>
      </c>
      <c r="C299" t="s">
        <v>18</v>
      </c>
      <c r="D299">
        <v>40.700000000000003</v>
      </c>
      <c r="E299">
        <v>22.12</v>
      </c>
      <c r="F299">
        <v>0.98383695000000004</v>
      </c>
      <c r="G299">
        <v>1.47</v>
      </c>
      <c r="H299">
        <v>46.445</v>
      </c>
      <c r="I299">
        <v>31.29</v>
      </c>
      <c r="J299">
        <v>13428792315</v>
      </c>
      <c r="K299">
        <v>1179000000</v>
      </c>
      <c r="L299">
        <v>2.3082660000000002</v>
      </c>
      <c r="M299">
        <v>11.93</v>
      </c>
      <c r="N299" t="s">
        <v>920</v>
      </c>
      <c r="O299">
        <v>13.4</v>
      </c>
      <c r="P299">
        <v>1.2</v>
      </c>
    </row>
    <row r="300" spans="1:16" x14ac:dyDescent="0.45">
      <c r="A300" t="s">
        <v>921</v>
      </c>
      <c r="B300" t="s">
        <v>922</v>
      </c>
      <c r="C300" t="s">
        <v>32</v>
      </c>
      <c r="D300">
        <v>160.62</v>
      </c>
      <c r="E300">
        <v>34.99</v>
      </c>
      <c r="F300">
        <v>0.59266280000000005</v>
      </c>
      <c r="G300">
        <v>3.65</v>
      </c>
      <c r="H300">
        <v>177.11</v>
      </c>
      <c r="I300">
        <v>105.8</v>
      </c>
      <c r="J300">
        <v>187102014193</v>
      </c>
      <c r="K300">
        <v>7113000000</v>
      </c>
      <c r="L300">
        <v>15.020555999999999</v>
      </c>
      <c r="M300">
        <v>26.93</v>
      </c>
      <c r="N300" t="s">
        <v>923</v>
      </c>
      <c r="O300">
        <v>187.1</v>
      </c>
      <c r="P300">
        <v>7.1</v>
      </c>
    </row>
    <row r="301" spans="1:16" x14ac:dyDescent="0.45">
      <c r="A301" t="s">
        <v>924</v>
      </c>
      <c r="B301" t="s">
        <v>925</v>
      </c>
      <c r="C301" t="s">
        <v>45</v>
      </c>
      <c r="D301">
        <v>16</v>
      </c>
      <c r="E301">
        <v>-14.68</v>
      </c>
      <c r="F301">
        <v>0</v>
      </c>
      <c r="G301">
        <v>-3.06</v>
      </c>
      <c r="H301">
        <v>26.3</v>
      </c>
      <c r="I301">
        <v>12.71</v>
      </c>
      <c r="J301">
        <v>5843402350</v>
      </c>
      <c r="K301">
        <v>-203599000</v>
      </c>
      <c r="L301">
        <v>1.1863722000000001</v>
      </c>
      <c r="M301">
        <v>3.87</v>
      </c>
      <c r="N301" t="s">
        <v>926</v>
      </c>
      <c r="O301">
        <v>5.8</v>
      </c>
      <c r="P301">
        <v>-0.2</v>
      </c>
    </row>
    <row r="302" spans="1:16" x14ac:dyDescent="0.45">
      <c r="A302" t="s">
        <v>927</v>
      </c>
      <c r="B302" t="s">
        <v>928</v>
      </c>
      <c r="C302" t="s">
        <v>113</v>
      </c>
      <c r="D302">
        <v>101.36</v>
      </c>
      <c r="E302">
        <v>23.91</v>
      </c>
      <c r="F302">
        <v>2.0261056000000002</v>
      </c>
      <c r="G302">
        <v>3.73</v>
      </c>
      <c r="H302">
        <v>109.67</v>
      </c>
      <c r="I302">
        <v>90.25</v>
      </c>
      <c r="J302">
        <v>13459353253</v>
      </c>
      <c r="K302">
        <v>815700000</v>
      </c>
      <c r="L302">
        <v>2.7788276999999999</v>
      </c>
      <c r="M302">
        <v>5.2</v>
      </c>
      <c r="N302" t="s">
        <v>929</v>
      </c>
      <c r="O302">
        <v>13.5</v>
      </c>
      <c r="P302">
        <v>0.8</v>
      </c>
    </row>
    <row r="303" spans="1:16" x14ac:dyDescent="0.45">
      <c r="A303" t="s">
        <v>930</v>
      </c>
      <c r="B303" t="s">
        <v>931</v>
      </c>
      <c r="C303" t="s">
        <v>45</v>
      </c>
      <c r="D303">
        <v>158.97</v>
      </c>
      <c r="E303">
        <v>23.83</v>
      </c>
      <c r="F303">
        <v>2.4379940000000002</v>
      </c>
      <c r="G303">
        <v>6.36</v>
      </c>
      <c r="H303">
        <v>178.7</v>
      </c>
      <c r="I303">
        <v>124.36</v>
      </c>
      <c r="J303">
        <v>132101623787</v>
      </c>
      <c r="K303">
        <v>10515400000</v>
      </c>
      <c r="L303">
        <v>5.7702369999999998</v>
      </c>
      <c r="M303">
        <v>146.07</v>
      </c>
      <c r="N303" t="s">
        <v>932</v>
      </c>
      <c r="O303">
        <v>132.1</v>
      </c>
      <c r="P303">
        <v>10.5</v>
      </c>
    </row>
    <row r="304" spans="1:16" x14ac:dyDescent="0.45">
      <c r="A304" t="s">
        <v>933</v>
      </c>
      <c r="B304" t="s">
        <v>934</v>
      </c>
      <c r="C304" t="s">
        <v>25</v>
      </c>
      <c r="D304">
        <v>150.22999999999999</v>
      </c>
      <c r="E304">
        <v>11.68</v>
      </c>
      <c r="F304">
        <v>0.88987760000000005</v>
      </c>
      <c r="G304">
        <v>22.74</v>
      </c>
      <c r="H304">
        <v>178.86</v>
      </c>
      <c r="I304">
        <v>133.82</v>
      </c>
      <c r="J304">
        <v>31534840262</v>
      </c>
      <c r="K304">
        <v>7232000000</v>
      </c>
      <c r="L304">
        <v>0.15318617000000001</v>
      </c>
      <c r="M304">
        <v>2.68</v>
      </c>
      <c r="N304" t="s">
        <v>935</v>
      </c>
      <c r="O304">
        <v>31.5</v>
      </c>
      <c r="P304">
        <v>7.2</v>
      </c>
    </row>
    <row r="305" spans="1:16" x14ac:dyDescent="0.45">
      <c r="A305" t="s">
        <v>936</v>
      </c>
      <c r="B305" t="s">
        <v>937</v>
      </c>
      <c r="C305" t="s">
        <v>25</v>
      </c>
      <c r="D305">
        <v>78.38</v>
      </c>
      <c r="E305">
        <v>17.04</v>
      </c>
      <c r="F305">
        <v>2.2618315</v>
      </c>
      <c r="G305">
        <v>2.89</v>
      </c>
      <c r="H305">
        <v>89.72</v>
      </c>
      <c r="I305">
        <v>75.44</v>
      </c>
      <c r="J305">
        <v>110107062300</v>
      </c>
      <c r="K305">
        <v>9204000000</v>
      </c>
      <c r="L305">
        <v>4.9445420000000002</v>
      </c>
      <c r="M305">
        <v>2.14</v>
      </c>
      <c r="N305" t="s">
        <v>938</v>
      </c>
      <c r="O305">
        <v>110.1</v>
      </c>
      <c r="P305">
        <v>9.1999999999999993</v>
      </c>
    </row>
    <row r="306" spans="1:16" x14ac:dyDescent="0.45">
      <c r="A306" t="s">
        <v>939</v>
      </c>
      <c r="B306" t="s">
        <v>940</v>
      </c>
      <c r="C306" t="s">
        <v>25</v>
      </c>
      <c r="D306">
        <v>54.73</v>
      </c>
      <c r="E306">
        <v>13.75</v>
      </c>
      <c r="F306">
        <v>3.435934</v>
      </c>
      <c r="G306">
        <v>1.4</v>
      </c>
      <c r="H306">
        <v>66.8</v>
      </c>
      <c r="I306">
        <v>53.63</v>
      </c>
      <c r="J306">
        <v>152241530340</v>
      </c>
      <c r="K306">
        <v>8715000000</v>
      </c>
      <c r="L306">
        <v>5.0893344999999997</v>
      </c>
      <c r="M306">
        <v>4.0199999999999996</v>
      </c>
      <c r="N306" t="s">
        <v>941</v>
      </c>
      <c r="O306">
        <v>152.19999999999999</v>
      </c>
      <c r="P306">
        <v>8.6999999999999993</v>
      </c>
    </row>
    <row r="307" spans="1:16" x14ac:dyDescent="0.45">
      <c r="A307" t="s">
        <v>942</v>
      </c>
      <c r="B307" t="s">
        <v>943</v>
      </c>
      <c r="C307" t="s">
        <v>59</v>
      </c>
      <c r="D307">
        <v>44.28</v>
      </c>
      <c r="E307">
        <v>8.52</v>
      </c>
      <c r="F307">
        <v>3.4587116</v>
      </c>
      <c r="G307">
        <v>0.63</v>
      </c>
      <c r="H307">
        <v>56.58</v>
      </c>
      <c r="I307">
        <v>44.58</v>
      </c>
      <c r="J307">
        <v>48679364276</v>
      </c>
      <c r="K307">
        <v>0</v>
      </c>
      <c r="L307">
        <v>1.0496863999999999</v>
      </c>
      <c r="M307">
        <v>0.85</v>
      </c>
      <c r="N307" t="s">
        <v>944</v>
      </c>
      <c r="O307">
        <v>48.7</v>
      </c>
      <c r="P307">
        <v>0</v>
      </c>
    </row>
    <row r="308" spans="1:16" x14ac:dyDescent="0.45">
      <c r="A308" t="s">
        <v>945</v>
      </c>
      <c r="B308" t="s">
        <v>946</v>
      </c>
      <c r="C308" t="s">
        <v>25</v>
      </c>
      <c r="D308">
        <v>601</v>
      </c>
      <c r="E308">
        <v>35.56</v>
      </c>
      <c r="F308">
        <v>0</v>
      </c>
      <c r="G308">
        <v>14.24</v>
      </c>
      <c r="H308">
        <v>697.26</v>
      </c>
      <c r="I308">
        <v>459.34</v>
      </c>
      <c r="J308">
        <v>16420774443</v>
      </c>
      <c r="K308">
        <v>666706000</v>
      </c>
      <c r="L308">
        <v>8.3723069999999993</v>
      </c>
      <c r="M308">
        <v>31.69</v>
      </c>
      <c r="N308" t="s">
        <v>947</v>
      </c>
      <c r="O308">
        <v>16.399999999999999</v>
      </c>
      <c r="P308">
        <v>0.7</v>
      </c>
    </row>
    <row r="309" spans="1:16" x14ac:dyDescent="0.45">
      <c r="A309" t="s">
        <v>948</v>
      </c>
      <c r="B309" t="s">
        <v>949</v>
      </c>
      <c r="C309" t="s">
        <v>45</v>
      </c>
      <c r="D309">
        <v>33.5</v>
      </c>
      <c r="E309">
        <v>29.65</v>
      </c>
      <c r="F309">
        <v>1.2687428000000001</v>
      </c>
      <c r="G309">
        <v>1.92</v>
      </c>
      <c r="H309">
        <v>38.409999999999997</v>
      </c>
      <c r="I309">
        <v>25.15</v>
      </c>
      <c r="J309">
        <v>19633674337</v>
      </c>
      <c r="K309">
        <v>2680385000</v>
      </c>
      <c r="L309">
        <v>2.2276718999999998</v>
      </c>
      <c r="M309">
        <v>3.09</v>
      </c>
      <c r="N309" t="s">
        <v>950</v>
      </c>
      <c r="O309">
        <v>19.600000000000001</v>
      </c>
      <c r="P309">
        <v>2.7</v>
      </c>
    </row>
    <row r="310" spans="1:16" x14ac:dyDescent="0.45">
      <c r="A310" t="s">
        <v>951</v>
      </c>
      <c r="B310" t="s">
        <v>952</v>
      </c>
      <c r="C310" t="s">
        <v>45</v>
      </c>
      <c r="D310">
        <v>60.03</v>
      </c>
      <c r="E310">
        <v>14.29</v>
      </c>
      <c r="F310">
        <v>0</v>
      </c>
      <c r="G310">
        <v>3.31</v>
      </c>
      <c r="H310">
        <v>69.95</v>
      </c>
      <c r="I310">
        <v>32.380000000000003</v>
      </c>
      <c r="J310">
        <v>10053919023</v>
      </c>
      <c r="K310">
        <v>456600000</v>
      </c>
      <c r="L310">
        <v>3.1455926999999999</v>
      </c>
      <c r="M310">
        <v>5.4</v>
      </c>
      <c r="N310" t="s">
        <v>953</v>
      </c>
      <c r="O310">
        <v>10.1</v>
      </c>
      <c r="P310">
        <v>0.5</v>
      </c>
    </row>
    <row r="311" spans="1:16" x14ac:dyDescent="0.45">
      <c r="A311" t="s">
        <v>954</v>
      </c>
      <c r="B311" t="s">
        <v>955</v>
      </c>
      <c r="C311" t="s">
        <v>32</v>
      </c>
      <c r="D311">
        <v>79.900000000000006</v>
      </c>
      <c r="E311">
        <v>21.77</v>
      </c>
      <c r="F311">
        <v>1.7512966000000001</v>
      </c>
      <c r="G311">
        <v>0.66</v>
      </c>
      <c r="H311">
        <v>99.17</v>
      </c>
      <c r="I311">
        <v>69.760000000000005</v>
      </c>
      <c r="J311">
        <v>19393095636</v>
      </c>
      <c r="K311">
        <v>997492000</v>
      </c>
      <c r="L311">
        <v>7.4475182999999996</v>
      </c>
      <c r="M311">
        <v>5.9</v>
      </c>
      <c r="N311" t="s">
        <v>956</v>
      </c>
      <c r="O311">
        <v>19.399999999999999</v>
      </c>
      <c r="P311">
        <v>1</v>
      </c>
    </row>
    <row r="312" spans="1:16" x14ac:dyDescent="0.45">
      <c r="A312" t="s">
        <v>957</v>
      </c>
      <c r="B312" t="s">
        <v>958</v>
      </c>
      <c r="C312" t="s">
        <v>32</v>
      </c>
      <c r="D312">
        <v>40</v>
      </c>
      <c r="E312">
        <v>9.01</v>
      </c>
      <c r="F312">
        <v>0</v>
      </c>
      <c r="G312">
        <v>4.3600000000000003</v>
      </c>
      <c r="H312">
        <v>49.89</v>
      </c>
      <c r="I312">
        <v>22.64</v>
      </c>
      <c r="J312">
        <v>48576791974</v>
      </c>
      <c r="K312">
        <v>12541000000</v>
      </c>
      <c r="L312">
        <v>2.1912805999999998</v>
      </c>
      <c r="M312">
        <v>2.02</v>
      </c>
      <c r="N312" t="s">
        <v>959</v>
      </c>
      <c r="O312">
        <v>48.6</v>
      </c>
      <c r="P312">
        <v>12.5</v>
      </c>
    </row>
    <row r="313" spans="1:16" x14ac:dyDescent="0.45">
      <c r="A313" t="s">
        <v>960</v>
      </c>
      <c r="B313" t="s">
        <v>961</v>
      </c>
      <c r="C313" t="s">
        <v>32</v>
      </c>
      <c r="D313">
        <v>85.01</v>
      </c>
      <c r="E313">
        <v>25.76</v>
      </c>
      <c r="F313">
        <v>1.8747908</v>
      </c>
      <c r="G313">
        <v>2.97</v>
      </c>
      <c r="H313">
        <v>96.07</v>
      </c>
      <c r="I313">
        <v>63.22</v>
      </c>
      <c r="J313">
        <v>689978437468</v>
      </c>
      <c r="K313">
        <v>41079000000</v>
      </c>
      <c r="L313">
        <v>7.1130966999999998</v>
      </c>
      <c r="M313">
        <v>9.49</v>
      </c>
      <c r="N313" t="s">
        <v>962</v>
      </c>
      <c r="O313">
        <v>690</v>
      </c>
      <c r="P313">
        <v>41.1</v>
      </c>
    </row>
    <row r="314" spans="1:16" x14ac:dyDescent="0.45">
      <c r="A314" t="s">
        <v>963</v>
      </c>
      <c r="B314" t="s">
        <v>964</v>
      </c>
      <c r="C314" t="s">
        <v>82</v>
      </c>
      <c r="D314">
        <v>85.39</v>
      </c>
      <c r="E314">
        <v>14.38</v>
      </c>
      <c r="F314">
        <v>4.1965199999999996</v>
      </c>
      <c r="G314">
        <v>2.86</v>
      </c>
      <c r="H314">
        <v>110.95</v>
      </c>
      <c r="I314">
        <v>86.95</v>
      </c>
      <c r="J314">
        <v>9992628990</v>
      </c>
      <c r="K314">
        <v>871483000</v>
      </c>
      <c r="L314">
        <v>6.6291074999999999</v>
      </c>
      <c r="M314">
        <v>1.6</v>
      </c>
      <c r="N314" t="s">
        <v>965</v>
      </c>
      <c r="O314">
        <v>10</v>
      </c>
      <c r="P314">
        <v>0.9</v>
      </c>
    </row>
    <row r="315" spans="1:16" x14ac:dyDescent="0.45">
      <c r="A315" t="s">
        <v>966</v>
      </c>
      <c r="B315" t="s">
        <v>967</v>
      </c>
      <c r="C315" t="s">
        <v>45</v>
      </c>
      <c r="D315">
        <v>256.57</v>
      </c>
      <c r="E315">
        <v>19.079999999999998</v>
      </c>
      <c r="F315">
        <v>0</v>
      </c>
      <c r="G315">
        <v>12.48</v>
      </c>
      <c r="H315">
        <v>286.85000000000002</v>
      </c>
      <c r="I315">
        <v>209.9</v>
      </c>
      <c r="J315">
        <v>19897356456</v>
      </c>
      <c r="K315">
        <v>1750393000</v>
      </c>
      <c r="L315">
        <v>2.7977824</v>
      </c>
      <c r="M315">
        <v>2.88</v>
      </c>
      <c r="N315" t="s">
        <v>968</v>
      </c>
      <c r="O315">
        <v>19.899999999999999</v>
      </c>
      <c r="P315">
        <v>1.8</v>
      </c>
    </row>
    <row r="316" spans="1:16" x14ac:dyDescent="0.45">
      <c r="A316" t="s">
        <v>969</v>
      </c>
      <c r="B316" t="s">
        <v>970</v>
      </c>
      <c r="C316" t="s">
        <v>113</v>
      </c>
      <c r="D316">
        <v>74.510000000000005</v>
      </c>
      <c r="E316">
        <v>17.66</v>
      </c>
      <c r="F316">
        <v>2.1533612999999998</v>
      </c>
      <c r="G316">
        <v>9.27</v>
      </c>
      <c r="H316">
        <v>102.14</v>
      </c>
      <c r="I316">
        <v>75.790000000000006</v>
      </c>
      <c r="J316">
        <v>12396862128</v>
      </c>
      <c r="K316">
        <v>4708400000</v>
      </c>
      <c r="L316">
        <v>1.2371694</v>
      </c>
      <c r="M316">
        <v>1.34</v>
      </c>
      <c r="N316" t="s">
        <v>971</v>
      </c>
      <c r="O316">
        <v>12.4</v>
      </c>
      <c r="P316">
        <v>4.7</v>
      </c>
    </row>
    <row r="317" spans="1:16" x14ac:dyDescent="0.45">
      <c r="A317" t="s">
        <v>972</v>
      </c>
      <c r="B317" t="s">
        <v>973</v>
      </c>
      <c r="C317" t="s">
        <v>113</v>
      </c>
      <c r="D317">
        <v>42.68</v>
      </c>
      <c r="E317">
        <v>19.850000000000001</v>
      </c>
      <c r="F317">
        <v>1.9977298999999999</v>
      </c>
      <c r="G317">
        <v>1.91</v>
      </c>
      <c r="H317">
        <v>47.23</v>
      </c>
      <c r="I317">
        <v>39.19</v>
      </c>
      <c r="J317">
        <v>65827817742</v>
      </c>
      <c r="K317">
        <v>4355000000</v>
      </c>
      <c r="L317">
        <v>2.5708609</v>
      </c>
      <c r="M317">
        <v>2.52</v>
      </c>
      <c r="N317" t="s">
        <v>974</v>
      </c>
      <c r="O317">
        <v>65.8</v>
      </c>
      <c r="P317">
        <v>4.4000000000000004</v>
      </c>
    </row>
    <row r="318" spans="1:16" x14ac:dyDescent="0.45">
      <c r="A318" t="s">
        <v>975</v>
      </c>
      <c r="B318" t="s">
        <v>976</v>
      </c>
      <c r="C318" t="s">
        <v>69</v>
      </c>
      <c r="D318">
        <v>119.08</v>
      </c>
      <c r="E318">
        <v>21.53</v>
      </c>
      <c r="F318">
        <v>1.7938708999999999</v>
      </c>
      <c r="G318">
        <v>5.09</v>
      </c>
      <c r="H318">
        <v>123.15</v>
      </c>
      <c r="I318">
        <v>106.97</v>
      </c>
      <c r="J318">
        <v>53076824328</v>
      </c>
      <c r="K318">
        <v>4217000000</v>
      </c>
      <c r="L318">
        <v>3.589782</v>
      </c>
      <c r="M318">
        <v>7.96</v>
      </c>
      <c r="N318" t="s">
        <v>977</v>
      </c>
      <c r="O318">
        <v>53.1</v>
      </c>
      <c r="P318">
        <v>4.2</v>
      </c>
    </row>
    <row r="319" spans="1:16" x14ac:dyDescent="0.45">
      <c r="A319" t="s">
        <v>978</v>
      </c>
      <c r="B319" t="s">
        <v>979</v>
      </c>
      <c r="C319" t="s">
        <v>113</v>
      </c>
      <c r="D319">
        <v>61.99</v>
      </c>
      <c r="E319">
        <v>42.17</v>
      </c>
      <c r="F319">
        <v>0</v>
      </c>
      <c r="G319">
        <v>1.19</v>
      </c>
      <c r="H319">
        <v>70.215000000000003</v>
      </c>
      <c r="I319">
        <v>41.02</v>
      </c>
      <c r="J319">
        <v>36403831015</v>
      </c>
      <c r="K319">
        <v>1229478000</v>
      </c>
      <c r="L319">
        <v>14.152587</v>
      </c>
      <c r="M319">
        <v>9.56</v>
      </c>
      <c r="N319" t="s">
        <v>980</v>
      </c>
      <c r="O319">
        <v>36.4</v>
      </c>
      <c r="P319">
        <v>1.2</v>
      </c>
    </row>
    <row r="320" spans="1:16" x14ac:dyDescent="0.45">
      <c r="A320" t="s">
        <v>981</v>
      </c>
      <c r="B320" t="s">
        <v>982</v>
      </c>
      <c r="C320" t="s">
        <v>59</v>
      </c>
      <c r="D320">
        <v>152.13999999999999</v>
      </c>
      <c r="E320">
        <v>26.55</v>
      </c>
      <c r="F320">
        <v>1.1140650000000001</v>
      </c>
      <c r="G320">
        <v>1.35</v>
      </c>
      <c r="H320">
        <v>167.23</v>
      </c>
      <c r="I320">
        <v>106.48</v>
      </c>
      <c r="J320">
        <v>30189978000</v>
      </c>
      <c r="K320">
        <v>1238000000</v>
      </c>
      <c r="L320">
        <v>9.9329739999999997</v>
      </c>
      <c r="M320">
        <v>73.84</v>
      </c>
      <c r="N320" t="s">
        <v>983</v>
      </c>
      <c r="O320">
        <v>30.2</v>
      </c>
      <c r="P320">
        <v>1.2</v>
      </c>
    </row>
    <row r="321" spans="1:16" x14ac:dyDescent="0.45">
      <c r="A321" t="s">
        <v>984</v>
      </c>
      <c r="B321" t="s">
        <v>985</v>
      </c>
      <c r="C321" t="s">
        <v>59</v>
      </c>
      <c r="D321">
        <v>51.79</v>
      </c>
      <c r="E321">
        <v>14.23</v>
      </c>
      <c r="F321">
        <v>1.8331805000000001</v>
      </c>
      <c r="G321">
        <v>3.09</v>
      </c>
      <c r="H321">
        <v>58.05</v>
      </c>
      <c r="I321">
        <v>40.06</v>
      </c>
      <c r="J321">
        <v>97535400000</v>
      </c>
      <c r="K321">
        <v>0</v>
      </c>
      <c r="L321">
        <v>2.2258841999999999</v>
      </c>
      <c r="M321">
        <v>1.33</v>
      </c>
      <c r="N321" t="s">
        <v>986</v>
      </c>
      <c r="O321">
        <v>97.5</v>
      </c>
      <c r="P321">
        <v>0</v>
      </c>
    </row>
    <row r="322" spans="1:16" x14ac:dyDescent="0.45">
      <c r="A322" t="s">
        <v>987</v>
      </c>
      <c r="B322" t="s">
        <v>988</v>
      </c>
      <c r="C322" t="s">
        <v>32</v>
      </c>
      <c r="D322">
        <v>98.74</v>
      </c>
      <c r="E322">
        <v>19.03</v>
      </c>
      <c r="F322">
        <v>2.0266978999999998</v>
      </c>
      <c r="G322">
        <v>-1.08</v>
      </c>
      <c r="H322">
        <v>107.78</v>
      </c>
      <c r="I322">
        <v>77.23</v>
      </c>
      <c r="J322">
        <v>16626039679</v>
      </c>
      <c r="K322">
        <v>1629000000</v>
      </c>
      <c r="L322">
        <v>2.6092634000000001</v>
      </c>
      <c r="M322">
        <v>6.81</v>
      </c>
      <c r="N322" t="s">
        <v>989</v>
      </c>
      <c r="O322">
        <v>16.600000000000001</v>
      </c>
      <c r="P322">
        <v>1.6</v>
      </c>
    </row>
    <row r="323" spans="1:16" x14ac:dyDescent="0.45">
      <c r="A323" t="s">
        <v>990</v>
      </c>
      <c r="B323" t="s">
        <v>991</v>
      </c>
      <c r="C323" t="s">
        <v>25</v>
      </c>
      <c r="D323">
        <v>39.25</v>
      </c>
      <c r="E323">
        <v>8.35</v>
      </c>
      <c r="F323">
        <v>0</v>
      </c>
      <c r="G323">
        <v>0.93</v>
      </c>
      <c r="H323">
        <v>47.82</v>
      </c>
      <c r="I323">
        <v>29.39</v>
      </c>
      <c r="J323">
        <v>21698849265</v>
      </c>
      <c r="K323">
        <v>3113300000</v>
      </c>
      <c r="L323">
        <v>2.5358944000000001</v>
      </c>
      <c r="M323">
        <v>1.63</v>
      </c>
      <c r="N323" t="s">
        <v>992</v>
      </c>
      <c r="O323">
        <v>21.7</v>
      </c>
      <c r="P323">
        <v>3.1</v>
      </c>
    </row>
    <row r="324" spans="1:16" x14ac:dyDescent="0.45">
      <c r="A324" t="s">
        <v>993</v>
      </c>
      <c r="B324" t="s">
        <v>994</v>
      </c>
      <c r="C324" t="s">
        <v>59</v>
      </c>
      <c r="D324">
        <v>75.209999999999994</v>
      </c>
      <c r="E324">
        <v>17.78</v>
      </c>
      <c r="F324">
        <v>1.9671282999999999</v>
      </c>
      <c r="G324">
        <v>4.32</v>
      </c>
      <c r="H324">
        <v>83.29</v>
      </c>
      <c r="I324">
        <v>65.98</v>
      </c>
      <c r="J324">
        <v>12844304115</v>
      </c>
      <c r="K324">
        <v>1212000000</v>
      </c>
      <c r="L324">
        <v>3.2591082999999998</v>
      </c>
      <c r="M324">
        <v>2.25</v>
      </c>
      <c r="N324" t="s">
        <v>995</v>
      </c>
      <c r="O324">
        <v>12.8</v>
      </c>
      <c r="P324">
        <v>1.2</v>
      </c>
    </row>
    <row r="325" spans="1:16" x14ac:dyDescent="0.45">
      <c r="A325" t="s">
        <v>996</v>
      </c>
      <c r="B325" t="s">
        <v>997</v>
      </c>
      <c r="C325" t="s">
        <v>156</v>
      </c>
      <c r="D325">
        <v>32.64</v>
      </c>
      <c r="E325">
        <v>-77.709999999999994</v>
      </c>
      <c r="F325">
        <v>0.58737150000000005</v>
      </c>
      <c r="G325">
        <v>-6.4</v>
      </c>
      <c r="H325">
        <v>41.895000000000003</v>
      </c>
      <c r="I325">
        <v>29.9</v>
      </c>
      <c r="J325">
        <v>12940096785</v>
      </c>
      <c r="K325">
        <v>353000000</v>
      </c>
      <c r="L325">
        <v>2.5209633999999999</v>
      </c>
      <c r="M325">
        <v>0.91</v>
      </c>
      <c r="N325" t="s">
        <v>998</v>
      </c>
      <c r="O325">
        <v>12.9</v>
      </c>
      <c r="P325">
        <v>0.4</v>
      </c>
    </row>
    <row r="326" spans="1:16" x14ac:dyDescent="0.45">
      <c r="A326" t="s">
        <v>999</v>
      </c>
      <c r="B326" t="s">
        <v>1000</v>
      </c>
      <c r="C326" t="s">
        <v>59</v>
      </c>
      <c r="D326">
        <v>13.38</v>
      </c>
      <c r="E326">
        <v>7.56</v>
      </c>
      <c r="F326">
        <v>4.5584043999999997</v>
      </c>
      <c r="G326">
        <v>1.01</v>
      </c>
      <c r="H326">
        <v>16.97</v>
      </c>
      <c r="I326">
        <v>11.481</v>
      </c>
      <c r="J326">
        <v>3692691330</v>
      </c>
      <c r="K326">
        <v>0</v>
      </c>
      <c r="L326">
        <v>0.69865790000000005</v>
      </c>
      <c r="M326">
        <v>1.02</v>
      </c>
      <c r="N326" t="s">
        <v>1001</v>
      </c>
      <c r="O326">
        <v>3.7</v>
      </c>
      <c r="P326">
        <v>0</v>
      </c>
    </row>
    <row r="327" spans="1:16" x14ac:dyDescent="0.45">
      <c r="A327" t="s">
        <v>1002</v>
      </c>
      <c r="B327" t="s">
        <v>1003</v>
      </c>
      <c r="C327" t="s">
        <v>32</v>
      </c>
      <c r="D327">
        <v>55.85</v>
      </c>
      <c r="E327">
        <v>26.1</v>
      </c>
      <c r="F327">
        <v>1.3881657999999999</v>
      </c>
      <c r="G327">
        <v>1.81</v>
      </c>
      <c r="H327">
        <v>64.059899999999999</v>
      </c>
      <c r="I327">
        <v>37.43</v>
      </c>
      <c r="J327">
        <v>15375210915</v>
      </c>
      <c r="K327">
        <v>1075000000</v>
      </c>
      <c r="L327">
        <v>3.6687026</v>
      </c>
      <c r="M327">
        <v>5.46</v>
      </c>
      <c r="N327" t="s">
        <v>1004</v>
      </c>
      <c r="O327">
        <v>15.4</v>
      </c>
      <c r="P327">
        <v>1.1000000000000001</v>
      </c>
    </row>
    <row r="328" spans="1:16" x14ac:dyDescent="0.45">
      <c r="A328" t="s">
        <v>1005</v>
      </c>
      <c r="B328" t="s">
        <v>1006</v>
      </c>
      <c r="C328" t="s">
        <v>32</v>
      </c>
      <c r="D328">
        <v>250.1</v>
      </c>
      <c r="E328">
        <v>200.08</v>
      </c>
      <c r="F328">
        <v>0</v>
      </c>
      <c r="G328">
        <v>1.25</v>
      </c>
      <c r="H328">
        <v>286.81</v>
      </c>
      <c r="I328">
        <v>138.26</v>
      </c>
      <c r="J328">
        <v>114805404842</v>
      </c>
      <c r="K328">
        <v>809028000</v>
      </c>
      <c r="L328">
        <v>9.8615940000000002</v>
      </c>
      <c r="M328">
        <v>30.8</v>
      </c>
      <c r="N328" t="s">
        <v>1007</v>
      </c>
      <c r="O328">
        <v>114.8</v>
      </c>
      <c r="P328">
        <v>0.8</v>
      </c>
    </row>
    <row r="329" spans="1:16" x14ac:dyDescent="0.45">
      <c r="A329" t="s">
        <v>1008</v>
      </c>
      <c r="B329" t="s">
        <v>1009</v>
      </c>
      <c r="C329" t="s">
        <v>45</v>
      </c>
      <c r="D329">
        <v>27.91</v>
      </c>
      <c r="E329">
        <v>9.7200000000000006</v>
      </c>
      <c r="F329">
        <v>3.1228785999999999</v>
      </c>
      <c r="G329">
        <v>1.17</v>
      </c>
      <c r="H329">
        <v>55.08</v>
      </c>
      <c r="I329">
        <v>23.85</v>
      </c>
      <c r="J329">
        <v>14438346000</v>
      </c>
      <c r="K329">
        <v>2021400000</v>
      </c>
      <c r="L329">
        <v>1.2810478999999999</v>
      </c>
      <c r="M329">
        <v>1.01</v>
      </c>
      <c r="N329" t="s">
        <v>1010</v>
      </c>
      <c r="O329">
        <v>14.4</v>
      </c>
      <c r="P329">
        <v>2</v>
      </c>
    </row>
    <row r="330" spans="1:16" x14ac:dyDescent="0.45">
      <c r="A330" t="s">
        <v>1011</v>
      </c>
      <c r="B330" t="s">
        <v>1012</v>
      </c>
      <c r="C330" t="s">
        <v>156</v>
      </c>
      <c r="D330">
        <v>26.38</v>
      </c>
      <c r="E330">
        <v>13.12</v>
      </c>
      <c r="F330">
        <v>0</v>
      </c>
      <c r="G330">
        <v>-6.5</v>
      </c>
      <c r="H330">
        <v>43.74</v>
      </c>
      <c r="I330">
        <v>24.41</v>
      </c>
      <c r="J330">
        <v>5695123080</v>
      </c>
      <c r="K330">
        <v>896000000</v>
      </c>
      <c r="L330">
        <v>4.7032590000000001</v>
      </c>
      <c r="M330">
        <v>4.51</v>
      </c>
      <c r="N330" t="s">
        <v>1013</v>
      </c>
      <c r="O330">
        <v>5.7</v>
      </c>
      <c r="P330">
        <v>0.9</v>
      </c>
    </row>
    <row r="331" spans="1:16" x14ac:dyDescent="0.45">
      <c r="A331" t="s">
        <v>1014</v>
      </c>
      <c r="B331" t="s">
        <v>1015</v>
      </c>
      <c r="C331" t="s">
        <v>69</v>
      </c>
      <c r="D331">
        <v>36.61</v>
      </c>
      <c r="E331">
        <v>26.34</v>
      </c>
      <c r="F331">
        <v>0.81015389999999998</v>
      </c>
      <c r="G331">
        <v>-1.18</v>
      </c>
      <c r="H331">
        <v>42.04</v>
      </c>
      <c r="I331">
        <v>31.42</v>
      </c>
      <c r="J331">
        <v>19749449484</v>
      </c>
      <c r="K331">
        <v>1509000000</v>
      </c>
      <c r="L331">
        <v>3.7076392</v>
      </c>
      <c r="M331">
        <v>1.81</v>
      </c>
      <c r="N331" t="s">
        <v>1016</v>
      </c>
      <c r="O331">
        <v>19.7</v>
      </c>
      <c r="P331">
        <v>1.5</v>
      </c>
    </row>
    <row r="332" spans="1:16" x14ac:dyDescent="0.45">
      <c r="A332" t="s">
        <v>1017</v>
      </c>
      <c r="B332" t="s">
        <v>1018</v>
      </c>
      <c r="C332" t="s">
        <v>45</v>
      </c>
      <c r="D332">
        <v>15.65</v>
      </c>
      <c r="E332">
        <v>43.47</v>
      </c>
      <c r="F332">
        <v>1.24533</v>
      </c>
      <c r="G332">
        <v>-1.28</v>
      </c>
      <c r="H332">
        <v>17.29</v>
      </c>
      <c r="I332">
        <v>12</v>
      </c>
      <c r="J332">
        <v>9356906461</v>
      </c>
      <c r="K332">
        <v>679000000</v>
      </c>
      <c r="L332">
        <v>1.5518167</v>
      </c>
      <c r="M332">
        <v>0.85</v>
      </c>
      <c r="N332" t="s">
        <v>1019</v>
      </c>
      <c r="O332">
        <v>9.4</v>
      </c>
      <c r="P332">
        <v>0.7</v>
      </c>
    </row>
    <row r="333" spans="1:16" x14ac:dyDescent="0.45">
      <c r="A333" t="s">
        <v>1020</v>
      </c>
      <c r="B333" t="s">
        <v>1021</v>
      </c>
      <c r="C333" t="s">
        <v>45</v>
      </c>
      <c r="D333">
        <v>15.85</v>
      </c>
      <c r="E333">
        <v>44.03</v>
      </c>
      <c r="F333">
        <v>1.2269939000000001</v>
      </c>
      <c r="G333">
        <v>-1.28</v>
      </c>
      <c r="H333">
        <v>17.7</v>
      </c>
      <c r="I333">
        <v>12.35</v>
      </c>
      <c r="J333">
        <v>9496735699</v>
      </c>
      <c r="K333">
        <v>679000000</v>
      </c>
      <c r="L333">
        <v>1.5718216</v>
      </c>
      <c r="M333">
        <v>0.86</v>
      </c>
      <c r="N333" t="s">
        <v>1022</v>
      </c>
      <c r="O333">
        <v>9.5</v>
      </c>
      <c r="P333">
        <v>0.7</v>
      </c>
    </row>
    <row r="334" spans="1:16" x14ac:dyDescent="0.45">
      <c r="A334" t="s">
        <v>1023</v>
      </c>
      <c r="B334" t="s">
        <v>1024</v>
      </c>
      <c r="C334" t="s">
        <v>52</v>
      </c>
      <c r="D334">
        <v>145.29</v>
      </c>
      <c r="E334">
        <v>21.65</v>
      </c>
      <c r="F334">
        <v>2.6537917000000002</v>
      </c>
      <c r="G334">
        <v>11.39</v>
      </c>
      <c r="H334">
        <v>159.63999999999999</v>
      </c>
      <c r="I334">
        <v>124.18</v>
      </c>
      <c r="J334">
        <v>69661177770</v>
      </c>
      <c r="K334">
        <v>9018000000</v>
      </c>
      <c r="L334">
        <v>4.0916980000000001</v>
      </c>
      <c r="M334">
        <v>2.75</v>
      </c>
      <c r="N334" t="s">
        <v>1025</v>
      </c>
      <c r="O334">
        <v>69.7</v>
      </c>
      <c r="P334">
        <v>9</v>
      </c>
    </row>
    <row r="335" spans="1:16" x14ac:dyDescent="0.45">
      <c r="A335" t="s">
        <v>1026</v>
      </c>
      <c r="B335" t="s">
        <v>1027</v>
      </c>
      <c r="C335" t="s">
        <v>18</v>
      </c>
      <c r="D335">
        <v>33.9</v>
      </c>
      <c r="E335">
        <v>18.73</v>
      </c>
      <c r="F335">
        <v>3.6208732000000001</v>
      </c>
      <c r="G335">
        <v>1.39</v>
      </c>
      <c r="H335">
        <v>45.73</v>
      </c>
      <c r="I335">
        <v>34.22</v>
      </c>
      <c r="J335">
        <v>13377670080</v>
      </c>
      <c r="K335">
        <v>1836000000</v>
      </c>
      <c r="L335">
        <v>2.7288198000000001</v>
      </c>
      <c r="M335">
        <v>3.02</v>
      </c>
      <c r="N335" t="s">
        <v>1028</v>
      </c>
      <c r="O335">
        <v>13.4</v>
      </c>
      <c r="P335">
        <v>1.8</v>
      </c>
    </row>
    <row r="336" spans="1:16" x14ac:dyDescent="0.45">
      <c r="A336" t="s">
        <v>1029</v>
      </c>
      <c r="B336" t="s">
        <v>1030</v>
      </c>
      <c r="C336" t="s">
        <v>45</v>
      </c>
      <c r="D336">
        <v>62.49</v>
      </c>
      <c r="E336">
        <v>24.9</v>
      </c>
      <c r="F336">
        <v>1.2189547999999999</v>
      </c>
      <c r="G336">
        <v>2.5099999999999998</v>
      </c>
      <c r="H336">
        <v>68.83</v>
      </c>
      <c r="I336">
        <v>50.35</v>
      </c>
      <c r="J336">
        <v>106776113744</v>
      </c>
      <c r="K336">
        <v>5162000000</v>
      </c>
      <c r="L336">
        <v>3.0549932000000002</v>
      </c>
      <c r="M336">
        <v>8.91</v>
      </c>
      <c r="N336" t="s">
        <v>1031</v>
      </c>
      <c r="O336">
        <v>106.8</v>
      </c>
      <c r="P336">
        <v>5.2</v>
      </c>
    </row>
    <row r="337" spans="1:16" x14ac:dyDescent="0.45">
      <c r="A337" t="s">
        <v>1032</v>
      </c>
      <c r="B337" t="s">
        <v>1033</v>
      </c>
      <c r="C337" t="s">
        <v>52</v>
      </c>
      <c r="D337">
        <v>22.51</v>
      </c>
      <c r="E337">
        <v>19.57</v>
      </c>
      <c r="F337">
        <v>3.3780858999999999</v>
      </c>
      <c r="G337">
        <v>1.02</v>
      </c>
      <c r="H337">
        <v>27.76</v>
      </c>
      <c r="I337">
        <v>21.93</v>
      </c>
      <c r="J337">
        <v>7776566371</v>
      </c>
      <c r="K337">
        <v>1448600000</v>
      </c>
      <c r="L337">
        <v>2.2361342999999998</v>
      </c>
      <c r="M337">
        <v>1.82</v>
      </c>
      <c r="N337" t="s">
        <v>1034</v>
      </c>
      <c r="O337">
        <v>7.8</v>
      </c>
      <c r="P337">
        <v>1.4</v>
      </c>
    </row>
    <row r="338" spans="1:16" x14ac:dyDescent="0.45">
      <c r="A338" t="s">
        <v>1035</v>
      </c>
      <c r="B338" t="s">
        <v>1036</v>
      </c>
      <c r="C338" t="s">
        <v>156</v>
      </c>
      <c r="D338">
        <v>25.43</v>
      </c>
      <c r="E338">
        <v>105.96</v>
      </c>
      <c r="F338">
        <v>1.4771049000000001</v>
      </c>
      <c r="G338">
        <v>-2.3199999999999998</v>
      </c>
      <c r="H338">
        <v>39.6</v>
      </c>
      <c r="I338">
        <v>22.984999999999999</v>
      </c>
      <c r="J338">
        <v>13177325251</v>
      </c>
      <c r="K338">
        <v>-518000000</v>
      </c>
      <c r="L338">
        <v>4.6976446999999997</v>
      </c>
      <c r="M338">
        <v>1.44</v>
      </c>
      <c r="N338" t="s">
        <v>1037</v>
      </c>
      <c r="O338">
        <v>13.2</v>
      </c>
      <c r="P338">
        <v>-0.5</v>
      </c>
    </row>
    <row r="339" spans="1:16" x14ac:dyDescent="0.45">
      <c r="A339" t="s">
        <v>1038</v>
      </c>
      <c r="B339" t="s">
        <v>1039</v>
      </c>
      <c r="C339" t="s">
        <v>45</v>
      </c>
      <c r="D339">
        <v>47.23</v>
      </c>
      <c r="E339">
        <v>15.04</v>
      </c>
      <c r="F339">
        <v>3.0020285000000002</v>
      </c>
      <c r="G339">
        <v>2.02</v>
      </c>
      <c r="H339">
        <v>53</v>
      </c>
      <c r="I339">
        <v>37.792400000000001</v>
      </c>
      <c r="J339">
        <v>8212509855</v>
      </c>
      <c r="K339">
        <v>1448000000</v>
      </c>
      <c r="L339">
        <v>0.74603414999999995</v>
      </c>
      <c r="M339">
        <v>9.1</v>
      </c>
      <c r="N339" t="s">
        <v>1040</v>
      </c>
      <c r="O339">
        <v>8.1999999999999993</v>
      </c>
      <c r="P339">
        <v>1.4</v>
      </c>
    </row>
    <row r="340" spans="1:16" x14ac:dyDescent="0.45">
      <c r="A340" t="s">
        <v>1041</v>
      </c>
      <c r="B340" t="s">
        <v>1042</v>
      </c>
      <c r="C340" t="s">
        <v>18</v>
      </c>
      <c r="D340">
        <v>136.88999999999999</v>
      </c>
      <c r="E340">
        <v>20.65</v>
      </c>
      <c r="F340">
        <v>2.0185029999999999</v>
      </c>
      <c r="G340">
        <v>18.73</v>
      </c>
      <c r="H340">
        <v>157.1499</v>
      </c>
      <c r="I340">
        <v>109.27</v>
      </c>
      <c r="J340">
        <v>40543547441</v>
      </c>
      <c r="K340">
        <v>4737000000</v>
      </c>
      <c r="L340">
        <v>3.8525908000000002</v>
      </c>
      <c r="M340">
        <v>3.09</v>
      </c>
      <c r="N340" t="s">
        <v>1043</v>
      </c>
      <c r="O340">
        <v>40.5</v>
      </c>
      <c r="P340">
        <v>4.7</v>
      </c>
    </row>
    <row r="341" spans="1:16" x14ac:dyDescent="0.45">
      <c r="A341" t="s">
        <v>1044</v>
      </c>
      <c r="B341" t="s">
        <v>1045</v>
      </c>
      <c r="C341" t="s">
        <v>59</v>
      </c>
      <c r="D341">
        <v>96.2</v>
      </c>
      <c r="E341">
        <v>19.96</v>
      </c>
      <c r="F341">
        <v>1.6678249000000001</v>
      </c>
      <c r="G341">
        <v>4.92</v>
      </c>
      <c r="H341">
        <v>108.91</v>
      </c>
      <c r="I341">
        <v>83.17</v>
      </c>
      <c r="J341">
        <v>22908130223</v>
      </c>
      <c r="K341">
        <v>0</v>
      </c>
      <c r="L341">
        <v>4.0317280000000002</v>
      </c>
      <c r="M341">
        <v>2.44</v>
      </c>
      <c r="N341" t="s">
        <v>1046</v>
      </c>
      <c r="O341">
        <v>22.9</v>
      </c>
      <c r="P341">
        <v>0</v>
      </c>
    </row>
    <row r="342" spans="1:16" x14ac:dyDescent="0.45">
      <c r="A342" t="s">
        <v>1047</v>
      </c>
      <c r="B342" t="s">
        <v>1048</v>
      </c>
      <c r="C342" t="s">
        <v>18</v>
      </c>
      <c r="D342">
        <v>324.01</v>
      </c>
      <c r="E342">
        <v>24.4</v>
      </c>
      <c r="F342">
        <v>1.3030858999999999</v>
      </c>
      <c r="G342">
        <v>11.47</v>
      </c>
      <c r="H342">
        <v>349.18</v>
      </c>
      <c r="I342">
        <v>231.98</v>
      </c>
      <c r="J342">
        <v>58782413951</v>
      </c>
      <c r="K342">
        <v>3884000000</v>
      </c>
      <c r="L342">
        <v>2.2095760000000002</v>
      </c>
      <c r="M342">
        <v>7.96</v>
      </c>
      <c r="N342" t="s">
        <v>1049</v>
      </c>
      <c r="O342">
        <v>58.8</v>
      </c>
      <c r="P342">
        <v>3.9</v>
      </c>
    </row>
    <row r="343" spans="1:16" x14ac:dyDescent="0.45">
      <c r="A343" t="s">
        <v>1050</v>
      </c>
      <c r="B343" t="s">
        <v>1051</v>
      </c>
      <c r="C343" t="s">
        <v>45</v>
      </c>
      <c r="D343">
        <v>56.01</v>
      </c>
      <c r="E343">
        <v>15.35</v>
      </c>
      <c r="F343">
        <v>0</v>
      </c>
      <c r="G343">
        <v>2.78</v>
      </c>
      <c r="H343">
        <v>61.48</v>
      </c>
      <c r="I343">
        <v>46.96</v>
      </c>
      <c r="J343">
        <v>13191507318</v>
      </c>
      <c r="K343">
        <v>1529401000</v>
      </c>
      <c r="L343">
        <v>3.2066104000000002</v>
      </c>
      <c r="M343">
        <v>2.35</v>
      </c>
      <c r="N343" t="s">
        <v>1052</v>
      </c>
      <c r="O343">
        <v>13.2</v>
      </c>
      <c r="P343">
        <v>1.5</v>
      </c>
    </row>
    <row r="344" spans="1:16" x14ac:dyDescent="0.45">
      <c r="A344" t="s">
        <v>1053</v>
      </c>
      <c r="B344" t="s">
        <v>1054</v>
      </c>
      <c r="C344" t="s">
        <v>52</v>
      </c>
      <c r="D344">
        <v>24</v>
      </c>
      <c r="E344">
        <v>17.78</v>
      </c>
      <c r="F344">
        <v>1.4195584000000001</v>
      </c>
      <c r="G344">
        <v>-2.23</v>
      </c>
      <c r="H344">
        <v>29.78</v>
      </c>
      <c r="I344">
        <v>14.52</v>
      </c>
      <c r="J344">
        <v>8030036023</v>
      </c>
      <c r="K344">
        <v>1774000000</v>
      </c>
      <c r="L344">
        <v>0.99330209999999997</v>
      </c>
      <c r="M344">
        <v>6.73</v>
      </c>
      <c r="N344" t="s">
        <v>1055</v>
      </c>
      <c r="O344">
        <v>8</v>
      </c>
      <c r="P344">
        <v>1.8</v>
      </c>
    </row>
    <row r="345" spans="1:16" x14ac:dyDescent="0.45">
      <c r="A345" t="s">
        <v>1056</v>
      </c>
      <c r="B345" t="s">
        <v>1057</v>
      </c>
      <c r="C345" t="s">
        <v>69</v>
      </c>
      <c r="D345">
        <v>60.38</v>
      </c>
      <c r="E345">
        <v>17.010000000000002</v>
      </c>
      <c r="F345">
        <v>2.4157660000000001</v>
      </c>
      <c r="G345">
        <v>4.0999999999999996</v>
      </c>
      <c r="H345">
        <v>70.48</v>
      </c>
      <c r="I345">
        <v>51.67</v>
      </c>
      <c r="J345">
        <v>20003317128</v>
      </c>
      <c r="K345">
        <v>2648729000</v>
      </c>
      <c r="L345">
        <v>0.99837582999999996</v>
      </c>
      <c r="M345">
        <v>2.34</v>
      </c>
      <c r="N345" t="s">
        <v>1058</v>
      </c>
      <c r="O345">
        <v>20</v>
      </c>
      <c r="P345">
        <v>2.6</v>
      </c>
    </row>
    <row r="346" spans="1:16" x14ac:dyDescent="0.45">
      <c r="A346" t="s">
        <v>1059</v>
      </c>
      <c r="B346" t="s">
        <v>1060</v>
      </c>
      <c r="C346" t="s">
        <v>32</v>
      </c>
      <c r="D346">
        <v>217.52</v>
      </c>
      <c r="E346">
        <v>82.08</v>
      </c>
      <c r="F346">
        <v>0.26223775999999999</v>
      </c>
      <c r="G346">
        <v>2.57</v>
      </c>
      <c r="H346">
        <v>249.27</v>
      </c>
      <c r="I346">
        <v>95.17</v>
      </c>
      <c r="J346">
        <v>138652800000</v>
      </c>
      <c r="K346">
        <v>3098000000</v>
      </c>
      <c r="L346">
        <v>20.094294000000001</v>
      </c>
      <c r="M346">
        <v>20.39</v>
      </c>
      <c r="N346" t="s">
        <v>1061</v>
      </c>
      <c r="O346">
        <v>138.69999999999999</v>
      </c>
      <c r="P346">
        <v>3.1</v>
      </c>
    </row>
    <row r="347" spans="1:16" x14ac:dyDescent="0.45">
      <c r="A347" t="s">
        <v>1062</v>
      </c>
      <c r="B347" t="s">
        <v>1063</v>
      </c>
      <c r="C347" t="s">
        <v>45</v>
      </c>
      <c r="D347">
        <v>252.22</v>
      </c>
      <c r="E347">
        <v>21.91</v>
      </c>
      <c r="F347">
        <v>0</v>
      </c>
      <c r="G347">
        <v>10.73</v>
      </c>
      <c r="H347">
        <v>279.23</v>
      </c>
      <c r="I347">
        <v>169.43</v>
      </c>
      <c r="J347">
        <v>21433781860</v>
      </c>
      <c r="K347">
        <v>1965187000</v>
      </c>
      <c r="L347">
        <v>3.1934319000000002</v>
      </c>
      <c r="M347">
        <v>34.119999999999997</v>
      </c>
      <c r="N347" t="s">
        <v>1064</v>
      </c>
      <c r="O347">
        <v>21.4</v>
      </c>
      <c r="P347">
        <v>2</v>
      </c>
    </row>
    <row r="348" spans="1:16" x14ac:dyDescent="0.45">
      <c r="A348" t="s">
        <v>1065</v>
      </c>
      <c r="B348" t="s">
        <v>1066</v>
      </c>
      <c r="C348" t="s">
        <v>156</v>
      </c>
      <c r="D348">
        <v>68.47</v>
      </c>
      <c r="E348">
        <v>195.63</v>
      </c>
      <c r="F348">
        <v>4.4081863999999999</v>
      </c>
      <c r="G348">
        <v>-0.75</v>
      </c>
      <c r="H348">
        <v>78.09</v>
      </c>
      <c r="I348">
        <v>57.2</v>
      </c>
      <c r="J348">
        <v>53467692395</v>
      </c>
      <c r="K348">
        <v>5205000000</v>
      </c>
      <c r="L348">
        <v>6.0448950000000004</v>
      </c>
      <c r="N348" t="s">
        <v>1067</v>
      </c>
      <c r="O348">
        <v>53.5</v>
      </c>
      <c r="P348">
        <v>5.2</v>
      </c>
    </row>
    <row r="349" spans="1:16" x14ac:dyDescent="0.45">
      <c r="A349" t="s">
        <v>1068</v>
      </c>
      <c r="B349" t="s">
        <v>1069</v>
      </c>
      <c r="C349" t="s">
        <v>45</v>
      </c>
      <c r="D349">
        <v>75.91</v>
      </c>
      <c r="E349">
        <v>15.27</v>
      </c>
      <c r="F349">
        <v>3.1838684000000002</v>
      </c>
      <c r="G349">
        <v>4.79</v>
      </c>
      <c r="H349">
        <v>86.71</v>
      </c>
      <c r="I349">
        <v>65.319999999999993</v>
      </c>
      <c r="J349">
        <v>17377551986</v>
      </c>
      <c r="K349">
        <v>2366000000</v>
      </c>
      <c r="L349">
        <v>1.5327156</v>
      </c>
      <c r="M349">
        <v>6.66</v>
      </c>
      <c r="N349" t="s">
        <v>1070</v>
      </c>
      <c r="O349">
        <v>17.399999999999999</v>
      </c>
      <c r="P349">
        <v>2.4</v>
      </c>
    </row>
    <row r="350" spans="1:16" x14ac:dyDescent="0.45">
      <c r="A350" t="s">
        <v>1071</v>
      </c>
      <c r="B350" t="s">
        <v>1072</v>
      </c>
      <c r="C350" t="s">
        <v>156</v>
      </c>
      <c r="D350">
        <v>54.4</v>
      </c>
      <c r="E350">
        <v>34</v>
      </c>
      <c r="F350">
        <v>5.4436197000000002</v>
      </c>
      <c r="G350">
        <v>1.66</v>
      </c>
      <c r="H350">
        <v>61.36</v>
      </c>
      <c r="I350">
        <v>47.14</v>
      </c>
      <c r="J350">
        <v>21988472489</v>
      </c>
      <c r="K350">
        <v>1851783000</v>
      </c>
      <c r="L350">
        <v>2.6159564999999998</v>
      </c>
      <c r="M350">
        <v>4.03</v>
      </c>
      <c r="N350" t="s">
        <v>1073</v>
      </c>
      <c r="O350">
        <v>22</v>
      </c>
      <c r="P350">
        <v>1.9</v>
      </c>
    </row>
    <row r="351" spans="1:16" x14ac:dyDescent="0.45">
      <c r="A351" t="s">
        <v>1074</v>
      </c>
      <c r="B351" t="s">
        <v>1075</v>
      </c>
      <c r="C351" t="s">
        <v>32</v>
      </c>
      <c r="D351">
        <v>46.84</v>
      </c>
      <c r="E351">
        <v>18.809999999999999</v>
      </c>
      <c r="F351">
        <v>1.5551463000000001</v>
      </c>
      <c r="G351">
        <v>2.2000000000000002</v>
      </c>
      <c r="H351">
        <v>53.14</v>
      </c>
      <c r="I351">
        <v>40.01</v>
      </c>
      <c r="J351">
        <v>202302349740</v>
      </c>
      <c r="K351">
        <v>16545000000</v>
      </c>
      <c r="L351">
        <v>5.2561646</v>
      </c>
      <c r="M351">
        <v>3.56</v>
      </c>
      <c r="N351" t="s">
        <v>1076</v>
      </c>
      <c r="O351">
        <v>202.3</v>
      </c>
      <c r="P351">
        <v>16.5</v>
      </c>
    </row>
    <row r="352" spans="1:16" x14ac:dyDescent="0.45">
      <c r="A352" t="s">
        <v>1077</v>
      </c>
      <c r="B352" t="s">
        <v>1078</v>
      </c>
      <c r="C352" t="s">
        <v>18</v>
      </c>
      <c r="D352">
        <v>66.98</v>
      </c>
      <c r="E352">
        <v>15.72</v>
      </c>
      <c r="F352">
        <v>1.455816</v>
      </c>
      <c r="G352">
        <v>4.75</v>
      </c>
      <c r="H352">
        <v>79.69</v>
      </c>
      <c r="I352">
        <v>61.93</v>
      </c>
      <c r="J352">
        <v>24152102921</v>
      </c>
      <c r="K352">
        <v>3619200000</v>
      </c>
      <c r="L352">
        <v>1.2869299999999999</v>
      </c>
      <c r="M352">
        <v>3.07</v>
      </c>
      <c r="N352" t="s">
        <v>1079</v>
      </c>
      <c r="O352">
        <v>24.2</v>
      </c>
      <c r="P352">
        <v>3.6</v>
      </c>
    </row>
    <row r="353" spans="1:16" x14ac:dyDescent="0.45">
      <c r="A353" t="s">
        <v>1080</v>
      </c>
      <c r="B353" t="s">
        <v>1081</v>
      </c>
      <c r="C353" t="s">
        <v>69</v>
      </c>
      <c r="D353">
        <v>111.95</v>
      </c>
      <c r="E353">
        <v>18.57</v>
      </c>
      <c r="F353">
        <v>2.1514555999999998</v>
      </c>
      <c r="G353">
        <v>7.07</v>
      </c>
      <c r="H353">
        <v>131.13159999999999</v>
      </c>
      <c r="I353">
        <v>88.47</v>
      </c>
      <c r="J353">
        <v>11051273948</v>
      </c>
      <c r="K353">
        <v>1214900000</v>
      </c>
      <c r="L353">
        <v>1.741522</v>
      </c>
      <c r="M353">
        <v>5.54</v>
      </c>
      <c r="N353" t="s">
        <v>1082</v>
      </c>
      <c r="O353">
        <v>11.1</v>
      </c>
      <c r="P353">
        <v>1.2</v>
      </c>
    </row>
    <row r="354" spans="1:16" x14ac:dyDescent="0.45">
      <c r="A354" t="s">
        <v>1083</v>
      </c>
      <c r="B354" t="s">
        <v>1084</v>
      </c>
      <c r="C354" t="s">
        <v>18</v>
      </c>
      <c r="D354">
        <v>174.51</v>
      </c>
      <c r="E354">
        <v>21.6</v>
      </c>
      <c r="F354">
        <v>1.4401832999999999</v>
      </c>
      <c r="G354">
        <v>7.24</v>
      </c>
      <c r="H354">
        <v>212.8</v>
      </c>
      <c r="I354">
        <v>145.38</v>
      </c>
      <c r="J354">
        <v>24421668509</v>
      </c>
      <c r="K354">
        <v>2092089000</v>
      </c>
      <c r="L354">
        <v>1.8652664000000001</v>
      </c>
      <c r="M354">
        <v>4.3899999999999997</v>
      </c>
      <c r="N354" t="s">
        <v>1085</v>
      </c>
      <c r="O354">
        <v>24.4</v>
      </c>
      <c r="P354">
        <v>2.1</v>
      </c>
    </row>
    <row r="355" spans="1:16" x14ac:dyDescent="0.45">
      <c r="A355" t="s">
        <v>1086</v>
      </c>
      <c r="B355" t="s">
        <v>1087</v>
      </c>
      <c r="C355" t="s">
        <v>25</v>
      </c>
      <c r="D355">
        <v>32.880000000000003</v>
      </c>
      <c r="E355">
        <v>14.05</v>
      </c>
      <c r="F355">
        <v>3.0723782000000002</v>
      </c>
      <c r="G355">
        <v>1.79</v>
      </c>
      <c r="H355">
        <v>48.295000000000002</v>
      </c>
      <c r="I355">
        <v>32.07</v>
      </c>
      <c r="J355">
        <v>3209792400</v>
      </c>
      <c r="K355">
        <v>359644000</v>
      </c>
      <c r="L355">
        <v>0.78727919999999996</v>
      </c>
      <c r="M355">
        <v>2.34</v>
      </c>
      <c r="N355" t="s">
        <v>1088</v>
      </c>
      <c r="O355">
        <v>3.2</v>
      </c>
      <c r="P355">
        <v>0.4</v>
      </c>
    </row>
    <row r="356" spans="1:16" x14ac:dyDescent="0.45">
      <c r="A356" t="s">
        <v>1089</v>
      </c>
      <c r="B356" t="s">
        <v>1090</v>
      </c>
      <c r="C356" t="s">
        <v>32</v>
      </c>
      <c r="D356">
        <v>61.86</v>
      </c>
      <c r="E356">
        <v>27.49</v>
      </c>
      <c r="F356">
        <v>3.0892800999999999</v>
      </c>
      <c r="G356">
        <v>2.2599999999999998</v>
      </c>
      <c r="H356">
        <v>73.099999999999994</v>
      </c>
      <c r="I356">
        <v>54.2</v>
      </c>
      <c r="J356">
        <v>23253666810</v>
      </c>
      <c r="K356">
        <v>1414900000</v>
      </c>
      <c r="L356">
        <v>7.2484869999999999</v>
      </c>
      <c r="M356">
        <v>11.77</v>
      </c>
      <c r="N356" t="s">
        <v>1091</v>
      </c>
      <c r="O356">
        <v>23.3</v>
      </c>
      <c r="P356">
        <v>1.4</v>
      </c>
    </row>
    <row r="357" spans="1:16" x14ac:dyDescent="0.45">
      <c r="A357" t="s">
        <v>1092</v>
      </c>
      <c r="B357" t="s">
        <v>1093</v>
      </c>
      <c r="C357" t="s">
        <v>32</v>
      </c>
      <c r="D357">
        <v>72.319999999999993</v>
      </c>
      <c r="E357">
        <v>49.53</v>
      </c>
      <c r="F357">
        <v>0</v>
      </c>
      <c r="G357">
        <v>1.47</v>
      </c>
      <c r="H357">
        <v>86.32</v>
      </c>
      <c r="I357">
        <v>39.92</v>
      </c>
      <c r="J357">
        <v>90708000000</v>
      </c>
      <c r="K357">
        <v>2932000000</v>
      </c>
      <c r="L357">
        <v>6.9356960000000001</v>
      </c>
      <c r="M357">
        <v>5.81</v>
      </c>
      <c r="N357" t="s">
        <v>1094</v>
      </c>
      <c r="O357">
        <v>90.7</v>
      </c>
      <c r="P357">
        <v>2.9</v>
      </c>
    </row>
    <row r="358" spans="1:16" x14ac:dyDescent="0.45">
      <c r="A358" t="s">
        <v>1095</v>
      </c>
      <c r="B358" t="s">
        <v>1096</v>
      </c>
      <c r="C358" t="s">
        <v>18</v>
      </c>
      <c r="D358">
        <v>66.67</v>
      </c>
      <c r="E358">
        <v>18.89</v>
      </c>
      <c r="F358">
        <v>2.0393300000000001</v>
      </c>
      <c r="G358">
        <v>3.63</v>
      </c>
      <c r="H358">
        <v>74.84</v>
      </c>
      <c r="I358">
        <v>57.63</v>
      </c>
      <c r="J358">
        <v>12466660892</v>
      </c>
      <c r="K358">
        <v>863700000</v>
      </c>
      <c r="L358">
        <v>2.5191512</v>
      </c>
      <c r="M358">
        <v>2.48</v>
      </c>
      <c r="N358" t="s">
        <v>1097</v>
      </c>
      <c r="O358">
        <v>12.5</v>
      </c>
      <c r="P358">
        <v>0.9</v>
      </c>
    </row>
    <row r="359" spans="1:16" x14ac:dyDescent="0.45">
      <c r="A359" t="s">
        <v>1098</v>
      </c>
      <c r="B359" t="s">
        <v>1099</v>
      </c>
      <c r="C359" t="s">
        <v>59</v>
      </c>
      <c r="D359">
        <v>18.559999999999999</v>
      </c>
      <c r="E359">
        <v>18.02</v>
      </c>
      <c r="F359">
        <v>3.59375</v>
      </c>
      <c r="G359">
        <v>0.97</v>
      </c>
      <c r="H359">
        <v>20.14</v>
      </c>
      <c r="I359">
        <v>15.965</v>
      </c>
      <c r="J359">
        <v>6527616000</v>
      </c>
      <c r="K359">
        <v>0</v>
      </c>
      <c r="L359">
        <v>3.9272703999999998</v>
      </c>
      <c r="M359">
        <v>1.17</v>
      </c>
      <c r="N359" t="s">
        <v>1100</v>
      </c>
      <c r="O359">
        <v>6.5</v>
      </c>
      <c r="P359">
        <v>0</v>
      </c>
    </row>
    <row r="360" spans="1:16" x14ac:dyDescent="0.45">
      <c r="A360" t="s">
        <v>1101</v>
      </c>
      <c r="B360" t="s">
        <v>1102</v>
      </c>
      <c r="C360" t="s">
        <v>113</v>
      </c>
      <c r="D360">
        <v>110.15</v>
      </c>
      <c r="E360">
        <v>21.51</v>
      </c>
      <c r="F360">
        <v>2.8370044000000001</v>
      </c>
      <c r="G360">
        <v>4.3600000000000003</v>
      </c>
      <c r="H360">
        <v>122.51</v>
      </c>
      <c r="I360">
        <v>104.77</v>
      </c>
      <c r="J360">
        <v>161413271020</v>
      </c>
      <c r="K360">
        <v>12843000000</v>
      </c>
      <c r="L360">
        <v>3.6705062000000002</v>
      </c>
      <c r="N360" t="s">
        <v>1103</v>
      </c>
      <c r="O360">
        <v>161.4</v>
      </c>
      <c r="P360">
        <v>12.8</v>
      </c>
    </row>
    <row r="361" spans="1:16" x14ac:dyDescent="0.45">
      <c r="A361" t="s">
        <v>1104</v>
      </c>
      <c r="B361" t="s">
        <v>1105</v>
      </c>
      <c r="C361" t="s">
        <v>25</v>
      </c>
      <c r="D361">
        <v>72.06</v>
      </c>
      <c r="E361">
        <v>24.68</v>
      </c>
      <c r="F361">
        <v>0.36953940000000002</v>
      </c>
      <c r="G361">
        <v>2.64</v>
      </c>
      <c r="H361">
        <v>84.49</v>
      </c>
      <c r="I361">
        <v>52.63</v>
      </c>
      <c r="J361">
        <v>8351767268</v>
      </c>
      <c r="K361">
        <v>445658000</v>
      </c>
      <c r="L361">
        <v>3.7116463</v>
      </c>
      <c r="M361">
        <v>3.25</v>
      </c>
      <c r="N361" t="s">
        <v>1106</v>
      </c>
      <c r="O361">
        <v>8.4</v>
      </c>
      <c r="P361">
        <v>0.4</v>
      </c>
    </row>
    <row r="362" spans="1:16" x14ac:dyDescent="0.45">
      <c r="A362" t="s">
        <v>1107</v>
      </c>
      <c r="B362" t="s">
        <v>1108</v>
      </c>
      <c r="C362" t="s">
        <v>25</v>
      </c>
      <c r="D362">
        <v>84.44</v>
      </c>
      <c r="F362">
        <v>0.73126142999999999</v>
      </c>
      <c r="G362">
        <v>-28.01</v>
      </c>
      <c r="H362">
        <v>95.93</v>
      </c>
      <c r="I362">
        <v>63.68</v>
      </c>
      <c r="J362">
        <v>12326379902</v>
      </c>
      <c r="K362">
        <v>0</v>
      </c>
      <c r="L362">
        <v>3.3850066999999999</v>
      </c>
      <c r="M362">
        <v>2.0299999999999998</v>
      </c>
      <c r="N362" t="s">
        <v>1109</v>
      </c>
      <c r="O362">
        <v>12.3</v>
      </c>
      <c r="P362">
        <v>0</v>
      </c>
    </row>
    <row r="363" spans="1:16" x14ac:dyDescent="0.45">
      <c r="A363" t="s">
        <v>1110</v>
      </c>
      <c r="B363" t="s">
        <v>1111</v>
      </c>
      <c r="C363" t="s">
        <v>25</v>
      </c>
      <c r="D363">
        <v>33.630000000000003</v>
      </c>
      <c r="E363">
        <v>12.69</v>
      </c>
      <c r="F363">
        <v>3.8879359</v>
      </c>
      <c r="G363">
        <v>3.51</v>
      </c>
      <c r="H363">
        <v>39.43</v>
      </c>
      <c r="I363">
        <v>31.67</v>
      </c>
      <c r="J363">
        <v>208505541949</v>
      </c>
      <c r="K363">
        <v>20569000000</v>
      </c>
      <c r="L363">
        <v>4.0020885000000002</v>
      </c>
      <c r="M363">
        <v>3.4</v>
      </c>
      <c r="N363" t="s">
        <v>1112</v>
      </c>
      <c r="O363">
        <v>208.5</v>
      </c>
      <c r="P363">
        <v>20.6</v>
      </c>
    </row>
    <row r="364" spans="1:16" x14ac:dyDescent="0.45">
      <c r="A364" t="s">
        <v>1113</v>
      </c>
      <c r="B364" t="s">
        <v>1114</v>
      </c>
      <c r="C364" t="s">
        <v>52</v>
      </c>
      <c r="D364">
        <v>38.24</v>
      </c>
      <c r="E364">
        <v>8.75</v>
      </c>
      <c r="F364">
        <v>0</v>
      </c>
      <c r="G364">
        <v>2.78</v>
      </c>
      <c r="H364">
        <v>71.569999999999993</v>
      </c>
      <c r="I364">
        <v>38.450000000000003</v>
      </c>
      <c r="J364">
        <v>20309412381</v>
      </c>
      <c r="K364">
        <v>6471000000</v>
      </c>
      <c r="L364">
        <v>1.5730644</v>
      </c>
      <c r="M364">
        <v>1.0900000000000001</v>
      </c>
      <c r="N364" t="s">
        <v>1115</v>
      </c>
      <c r="O364">
        <v>20.3</v>
      </c>
      <c r="P364">
        <v>6.5</v>
      </c>
    </row>
    <row r="365" spans="1:16" x14ac:dyDescent="0.45">
      <c r="A365" t="s">
        <v>1116</v>
      </c>
      <c r="B365" t="s">
        <v>1117</v>
      </c>
      <c r="C365" t="s">
        <v>113</v>
      </c>
      <c r="D365">
        <v>100.39</v>
      </c>
      <c r="E365">
        <v>22.36</v>
      </c>
      <c r="F365">
        <v>4.3284789999999997</v>
      </c>
      <c r="G365">
        <v>4.4800000000000004</v>
      </c>
      <c r="H365">
        <v>123.55</v>
      </c>
      <c r="I365">
        <v>96.66</v>
      </c>
      <c r="J365">
        <v>153580671803</v>
      </c>
      <c r="K365">
        <v>11802000000</v>
      </c>
      <c r="L365">
        <v>2.7574684999999999</v>
      </c>
      <c r="M365">
        <v>1318.7</v>
      </c>
      <c r="N365" t="s">
        <v>1118</v>
      </c>
      <c r="O365">
        <v>153.6</v>
      </c>
      <c r="P365">
        <v>11.8</v>
      </c>
    </row>
    <row r="366" spans="1:16" x14ac:dyDescent="0.45">
      <c r="A366" t="s">
        <v>1119</v>
      </c>
      <c r="B366" t="s">
        <v>1120</v>
      </c>
      <c r="C366" t="s">
        <v>156</v>
      </c>
      <c r="D366">
        <v>92.44</v>
      </c>
      <c r="E366">
        <v>21.11</v>
      </c>
      <c r="F366">
        <v>2.9285640000000002</v>
      </c>
      <c r="G366">
        <v>9.93</v>
      </c>
      <c r="H366">
        <v>107.47</v>
      </c>
      <c r="I366">
        <v>75.135000000000005</v>
      </c>
      <c r="J366">
        <v>47996220000</v>
      </c>
      <c r="K366">
        <v>5311000000</v>
      </c>
      <c r="L366">
        <v>0.47499471999999998</v>
      </c>
      <c r="M366">
        <v>2.12</v>
      </c>
      <c r="N366" t="s">
        <v>1121</v>
      </c>
      <c r="O366">
        <v>48</v>
      </c>
      <c r="P366">
        <v>5.3</v>
      </c>
    </row>
    <row r="367" spans="1:16" x14ac:dyDescent="0.45">
      <c r="A367" t="s">
        <v>1122</v>
      </c>
      <c r="B367" t="s">
        <v>1123</v>
      </c>
      <c r="C367" t="s">
        <v>52</v>
      </c>
      <c r="D367">
        <v>74.34</v>
      </c>
      <c r="E367">
        <v>16.059999999999999</v>
      </c>
      <c r="F367">
        <v>3.6987760000000001</v>
      </c>
      <c r="G367">
        <v>3.95</v>
      </c>
      <c r="H367">
        <v>92.48</v>
      </c>
      <c r="I367">
        <v>73.81</v>
      </c>
      <c r="J367">
        <v>8397609889</v>
      </c>
      <c r="K367">
        <v>1614399000</v>
      </c>
      <c r="L367">
        <v>2.9931207</v>
      </c>
      <c r="M367">
        <v>1.65</v>
      </c>
      <c r="N367" t="s">
        <v>1124</v>
      </c>
      <c r="O367">
        <v>8.4</v>
      </c>
      <c r="P367">
        <v>1.6</v>
      </c>
    </row>
    <row r="368" spans="1:16" x14ac:dyDescent="0.45">
      <c r="A368" t="s">
        <v>1125</v>
      </c>
      <c r="B368" t="s">
        <v>1126</v>
      </c>
      <c r="C368" t="s">
        <v>156</v>
      </c>
      <c r="D368">
        <v>169.16</v>
      </c>
      <c r="E368">
        <v>118.29</v>
      </c>
      <c r="F368">
        <v>0.18161179999999999</v>
      </c>
      <c r="G368">
        <v>-3.39</v>
      </c>
      <c r="H368">
        <v>199.83</v>
      </c>
      <c r="I368">
        <v>125.46</v>
      </c>
      <c r="J368">
        <v>29983119693</v>
      </c>
      <c r="K368">
        <v>1717000000</v>
      </c>
      <c r="L368">
        <v>6.7890477000000002</v>
      </c>
      <c r="M368">
        <v>2.76</v>
      </c>
      <c r="N368" t="s">
        <v>1127</v>
      </c>
      <c r="O368">
        <v>30</v>
      </c>
      <c r="P368">
        <v>1.7</v>
      </c>
    </row>
    <row r="369" spans="1:16" x14ac:dyDescent="0.45">
      <c r="A369" t="s">
        <v>1128</v>
      </c>
      <c r="B369" t="s">
        <v>1129</v>
      </c>
      <c r="C369" t="s">
        <v>59</v>
      </c>
      <c r="D369">
        <v>149.38</v>
      </c>
      <c r="E369">
        <v>17.55</v>
      </c>
      <c r="F369">
        <v>1.9354838000000001</v>
      </c>
      <c r="G369">
        <v>10.4</v>
      </c>
      <c r="H369">
        <v>160.07</v>
      </c>
      <c r="I369">
        <v>115.25</v>
      </c>
      <c r="J369">
        <v>73315000000</v>
      </c>
      <c r="K369">
        <v>0</v>
      </c>
      <c r="L369">
        <v>4.0465299999999997</v>
      </c>
      <c r="M369">
        <v>1.53</v>
      </c>
      <c r="N369" t="s">
        <v>1130</v>
      </c>
      <c r="O369">
        <v>73.3</v>
      </c>
      <c r="P369">
        <v>0</v>
      </c>
    </row>
    <row r="370" spans="1:16" x14ac:dyDescent="0.45">
      <c r="A370" t="s">
        <v>1131</v>
      </c>
      <c r="B370" t="s">
        <v>1132</v>
      </c>
      <c r="C370" t="s">
        <v>45</v>
      </c>
      <c r="D370">
        <v>101.32</v>
      </c>
      <c r="E370">
        <v>17.739999999999998</v>
      </c>
      <c r="F370">
        <v>1.8570101999999999</v>
      </c>
      <c r="G370">
        <v>-1.19</v>
      </c>
      <c r="H370">
        <v>119.33</v>
      </c>
      <c r="I370">
        <v>66.06</v>
      </c>
      <c r="J370">
        <v>8753430477</v>
      </c>
      <c r="K370">
        <v>506100000</v>
      </c>
      <c r="L370">
        <v>1.3948758000000001</v>
      </c>
      <c r="M370">
        <v>2.44</v>
      </c>
      <c r="N370" t="s">
        <v>1133</v>
      </c>
      <c r="O370">
        <v>8.8000000000000007</v>
      </c>
      <c r="P370">
        <v>0.5</v>
      </c>
    </row>
    <row r="371" spans="1:16" x14ac:dyDescent="0.45">
      <c r="A371" t="s">
        <v>1134</v>
      </c>
      <c r="B371" t="s">
        <v>1135</v>
      </c>
      <c r="C371" t="s">
        <v>69</v>
      </c>
      <c r="D371">
        <v>110.3</v>
      </c>
      <c r="E371">
        <v>18.73</v>
      </c>
      <c r="F371">
        <v>1.5771489000000001</v>
      </c>
      <c r="G371">
        <v>6.31</v>
      </c>
      <c r="H371">
        <v>122.0697</v>
      </c>
      <c r="I371">
        <v>99.57</v>
      </c>
      <c r="J371">
        <v>29043337549</v>
      </c>
      <c r="K371">
        <v>2585000000</v>
      </c>
      <c r="L371">
        <v>1.9551050999999999</v>
      </c>
      <c r="M371">
        <v>4.83</v>
      </c>
      <c r="N371" t="s">
        <v>1136</v>
      </c>
      <c r="O371">
        <v>29</v>
      </c>
      <c r="P371">
        <v>2.6</v>
      </c>
    </row>
    <row r="372" spans="1:16" x14ac:dyDescent="0.45">
      <c r="A372" t="s">
        <v>1137</v>
      </c>
      <c r="B372" t="s">
        <v>1138</v>
      </c>
      <c r="C372" t="s">
        <v>52</v>
      </c>
      <c r="D372">
        <v>29.52</v>
      </c>
      <c r="E372">
        <v>12.83</v>
      </c>
      <c r="F372">
        <v>5.2196894</v>
      </c>
      <c r="G372">
        <v>2.79</v>
      </c>
      <c r="H372">
        <v>40.200000000000003</v>
      </c>
      <c r="I372">
        <v>29.204999999999998</v>
      </c>
      <c r="J372">
        <v>20839814845</v>
      </c>
      <c r="K372">
        <v>3937000000</v>
      </c>
      <c r="L372">
        <v>3.7497053</v>
      </c>
      <c r="M372">
        <v>1.95</v>
      </c>
      <c r="N372" t="s">
        <v>1139</v>
      </c>
      <c r="O372">
        <v>20.8</v>
      </c>
      <c r="P372">
        <v>3.9</v>
      </c>
    </row>
    <row r="373" spans="1:16" x14ac:dyDescent="0.45">
      <c r="A373" t="s">
        <v>1140</v>
      </c>
      <c r="B373" t="s">
        <v>1141</v>
      </c>
      <c r="C373" t="s">
        <v>69</v>
      </c>
      <c r="D373">
        <v>144.07</v>
      </c>
      <c r="E373">
        <v>24.63</v>
      </c>
      <c r="F373">
        <v>2.1998533999999998</v>
      </c>
      <c r="G373">
        <v>4.32</v>
      </c>
      <c r="H373">
        <v>166.95</v>
      </c>
      <c r="I373">
        <v>115.53</v>
      </c>
      <c r="J373">
        <v>42948664203</v>
      </c>
      <c r="K373">
        <v>3632000000</v>
      </c>
      <c r="L373">
        <v>3.887915</v>
      </c>
      <c r="M373">
        <v>6.88</v>
      </c>
      <c r="N373" t="s">
        <v>1142</v>
      </c>
      <c r="O373">
        <v>42.9</v>
      </c>
      <c r="P373">
        <v>3.6</v>
      </c>
    </row>
    <row r="374" spans="1:16" x14ac:dyDescent="0.45">
      <c r="A374" t="s">
        <v>1143</v>
      </c>
      <c r="B374" t="s">
        <v>1144</v>
      </c>
      <c r="C374" t="s">
        <v>45</v>
      </c>
      <c r="D374">
        <v>1806.06</v>
      </c>
      <c r="E374">
        <v>24.26</v>
      </c>
      <c r="F374">
        <v>0</v>
      </c>
      <c r="G374">
        <v>42.66</v>
      </c>
      <c r="H374">
        <v>2067.9899999999998</v>
      </c>
      <c r="I374">
        <v>1589</v>
      </c>
      <c r="J374">
        <v>91817448863</v>
      </c>
      <c r="K374">
        <v>4803487000</v>
      </c>
      <c r="L374">
        <v>9.1765640000000008</v>
      </c>
      <c r="M374">
        <v>6.92</v>
      </c>
      <c r="N374" t="s">
        <v>1145</v>
      </c>
      <c r="O374">
        <v>91.8</v>
      </c>
      <c r="P374">
        <v>4.8</v>
      </c>
    </row>
    <row r="375" spans="1:16" x14ac:dyDescent="0.45">
      <c r="A375" t="s">
        <v>1146</v>
      </c>
      <c r="B375" t="s">
        <v>1147</v>
      </c>
      <c r="C375" t="s">
        <v>59</v>
      </c>
      <c r="D375">
        <v>60.38</v>
      </c>
      <c r="E375">
        <v>11.96</v>
      </c>
      <c r="F375">
        <v>3.1914894999999999</v>
      </c>
      <c r="G375">
        <v>4.5</v>
      </c>
      <c r="H375">
        <v>75.584999999999994</v>
      </c>
      <c r="I375">
        <v>58.940100000000001</v>
      </c>
      <c r="J375">
        <v>18457199721</v>
      </c>
      <c r="K375">
        <v>0</v>
      </c>
      <c r="L375">
        <v>1.7167546</v>
      </c>
      <c r="M375">
        <v>1.53</v>
      </c>
      <c r="N375" t="s">
        <v>1148</v>
      </c>
      <c r="O375">
        <v>18.5</v>
      </c>
      <c r="P375">
        <v>0</v>
      </c>
    </row>
    <row r="376" spans="1:16" x14ac:dyDescent="0.45">
      <c r="A376" t="s">
        <v>1149</v>
      </c>
      <c r="B376" t="s">
        <v>1150</v>
      </c>
      <c r="C376" t="s">
        <v>113</v>
      </c>
      <c r="D376">
        <v>80.22</v>
      </c>
      <c r="E376">
        <v>20.46</v>
      </c>
      <c r="F376">
        <v>3.3704789000000002</v>
      </c>
      <c r="G376">
        <v>5.6</v>
      </c>
      <c r="H376">
        <v>94.67</v>
      </c>
      <c r="I376">
        <v>80.099999999999994</v>
      </c>
      <c r="J376">
        <v>206318943299</v>
      </c>
      <c r="K376">
        <v>17249000000</v>
      </c>
      <c r="L376">
        <v>3.1595004000000002</v>
      </c>
      <c r="M376">
        <v>3.85</v>
      </c>
      <c r="N376" t="s">
        <v>1151</v>
      </c>
      <c r="O376">
        <v>206.3</v>
      </c>
      <c r="P376">
        <v>17.2</v>
      </c>
    </row>
    <row r="377" spans="1:16" x14ac:dyDescent="0.45">
      <c r="A377" t="s">
        <v>1152</v>
      </c>
      <c r="B377" t="s">
        <v>1153</v>
      </c>
      <c r="C377" t="s">
        <v>59</v>
      </c>
      <c r="D377">
        <v>51.07</v>
      </c>
      <c r="E377">
        <v>20.76</v>
      </c>
      <c r="F377">
        <v>2.1061797000000002</v>
      </c>
      <c r="G377">
        <v>2.73</v>
      </c>
      <c r="H377">
        <v>58.25</v>
      </c>
      <c r="I377">
        <v>36.840000000000003</v>
      </c>
      <c r="J377">
        <v>31062780000</v>
      </c>
      <c r="K377">
        <v>0</v>
      </c>
      <c r="L377">
        <v>1.1458876</v>
      </c>
      <c r="M377">
        <v>3.25</v>
      </c>
      <c r="N377" t="s">
        <v>1154</v>
      </c>
      <c r="O377">
        <v>31.1</v>
      </c>
      <c r="P377">
        <v>0</v>
      </c>
    </row>
    <row r="378" spans="1:16" x14ac:dyDescent="0.45">
      <c r="A378" t="s">
        <v>1155</v>
      </c>
      <c r="B378" t="s">
        <v>1156</v>
      </c>
      <c r="C378" t="s">
        <v>82</v>
      </c>
      <c r="D378">
        <v>58.33</v>
      </c>
      <c r="E378">
        <v>20.76</v>
      </c>
      <c r="F378">
        <v>2.9313790000000002</v>
      </c>
      <c r="G378">
        <v>3.06</v>
      </c>
      <c r="H378">
        <v>67.53</v>
      </c>
      <c r="I378">
        <v>48.69</v>
      </c>
      <c r="J378">
        <v>31953288000</v>
      </c>
      <c r="K378">
        <v>2969194000</v>
      </c>
      <c r="L378">
        <v>14.380373000000001</v>
      </c>
      <c r="M378">
        <v>2.11</v>
      </c>
      <c r="N378" t="s">
        <v>1157</v>
      </c>
      <c r="O378">
        <v>32</v>
      </c>
      <c r="P378">
        <v>3</v>
      </c>
    </row>
    <row r="379" spans="1:16" x14ac:dyDescent="0.45">
      <c r="A379" t="s">
        <v>1158</v>
      </c>
      <c r="B379" t="s">
        <v>1159</v>
      </c>
      <c r="C379" t="s">
        <v>59</v>
      </c>
      <c r="D379">
        <v>103.38</v>
      </c>
      <c r="E379">
        <v>9.99</v>
      </c>
      <c r="F379">
        <v>2.6985698</v>
      </c>
      <c r="G379">
        <v>9.73</v>
      </c>
      <c r="H379">
        <v>127.14</v>
      </c>
      <c r="I379">
        <v>97.88</v>
      </c>
      <c r="J379">
        <v>47136080000</v>
      </c>
      <c r="K379">
        <v>0</v>
      </c>
      <c r="L379">
        <v>1.0837270000000001</v>
      </c>
      <c r="M379">
        <v>0.93</v>
      </c>
      <c r="N379" t="s">
        <v>1160</v>
      </c>
      <c r="O379">
        <v>47.1</v>
      </c>
      <c r="P379">
        <v>0</v>
      </c>
    </row>
    <row r="380" spans="1:16" x14ac:dyDescent="0.45">
      <c r="A380" t="s">
        <v>1161</v>
      </c>
      <c r="B380" t="s">
        <v>1162</v>
      </c>
      <c r="C380" t="s">
        <v>52</v>
      </c>
      <c r="D380">
        <v>46.73</v>
      </c>
      <c r="E380">
        <v>16.11</v>
      </c>
      <c r="F380">
        <v>3.6058699999999999</v>
      </c>
      <c r="G380">
        <v>1.75</v>
      </c>
      <c r="H380">
        <v>53.28</v>
      </c>
      <c r="I380">
        <v>41.67</v>
      </c>
      <c r="J380">
        <v>24138050331</v>
      </c>
      <c r="K380">
        <v>3613000000</v>
      </c>
      <c r="L380">
        <v>3.4491453000000001</v>
      </c>
      <c r="M380">
        <v>1.88</v>
      </c>
      <c r="N380" t="s">
        <v>1163</v>
      </c>
      <c r="O380">
        <v>24.1</v>
      </c>
      <c r="P380">
        <v>3.6</v>
      </c>
    </row>
    <row r="381" spans="1:16" x14ac:dyDescent="0.45">
      <c r="A381" t="s">
        <v>1164</v>
      </c>
      <c r="B381" t="s">
        <v>1165</v>
      </c>
      <c r="C381" t="s">
        <v>82</v>
      </c>
      <c r="D381">
        <v>180.49</v>
      </c>
      <c r="E381">
        <v>18.21</v>
      </c>
      <c r="F381">
        <v>4.3161589999999999</v>
      </c>
      <c r="G381">
        <v>6.81</v>
      </c>
      <c r="H381">
        <v>232.21</v>
      </c>
      <c r="I381">
        <v>180.9254</v>
      </c>
      <c r="J381">
        <v>32258539942</v>
      </c>
      <c r="K381">
        <v>1924803000</v>
      </c>
      <c r="L381">
        <v>16.164169999999999</v>
      </c>
      <c r="M381">
        <v>6.56</v>
      </c>
      <c r="N381" t="s">
        <v>1166</v>
      </c>
      <c r="O381">
        <v>32.299999999999997</v>
      </c>
      <c r="P381">
        <v>1.9</v>
      </c>
    </row>
    <row r="382" spans="1:16" x14ac:dyDescent="0.45">
      <c r="A382" t="s">
        <v>1167</v>
      </c>
      <c r="B382" t="s">
        <v>1168</v>
      </c>
      <c r="C382" t="s">
        <v>45</v>
      </c>
      <c r="D382">
        <v>28.67</v>
      </c>
      <c r="E382">
        <v>12.86</v>
      </c>
      <c r="F382">
        <v>1.2036108000000001</v>
      </c>
      <c r="G382">
        <v>1.44</v>
      </c>
      <c r="H382">
        <v>35.21</v>
      </c>
      <c r="I382">
        <v>21.06</v>
      </c>
      <c r="J382">
        <v>8792572352</v>
      </c>
      <c r="K382">
        <v>992811000</v>
      </c>
      <c r="L382">
        <v>1.0341544</v>
      </c>
      <c r="M382">
        <v>1.99</v>
      </c>
      <c r="N382" t="s">
        <v>1169</v>
      </c>
      <c r="O382">
        <v>8.8000000000000007</v>
      </c>
      <c r="P382">
        <v>1</v>
      </c>
    </row>
    <row r="383" spans="1:16" x14ac:dyDescent="0.45">
      <c r="A383" t="s">
        <v>1170</v>
      </c>
      <c r="B383" t="s">
        <v>1171</v>
      </c>
      <c r="C383" t="s">
        <v>45</v>
      </c>
      <c r="D383">
        <v>142.68</v>
      </c>
      <c r="E383">
        <v>20.98</v>
      </c>
      <c r="F383">
        <v>0.100529455</v>
      </c>
      <c r="G383">
        <v>6.77</v>
      </c>
      <c r="H383">
        <v>157.96</v>
      </c>
      <c r="I383">
        <v>84.53</v>
      </c>
      <c r="J383">
        <v>11478625926</v>
      </c>
      <c r="K383">
        <v>1057500000</v>
      </c>
      <c r="L383">
        <v>1.7617522000000001</v>
      </c>
      <c r="M383">
        <v>2.14</v>
      </c>
      <c r="N383" t="s">
        <v>1172</v>
      </c>
      <c r="O383">
        <v>11.5</v>
      </c>
      <c r="P383">
        <v>1.1000000000000001</v>
      </c>
    </row>
    <row r="384" spans="1:16" x14ac:dyDescent="0.45">
      <c r="A384" t="s">
        <v>1173</v>
      </c>
      <c r="B384" t="s">
        <v>1174</v>
      </c>
      <c r="C384" t="s">
        <v>32</v>
      </c>
      <c r="D384">
        <v>76.849999999999994</v>
      </c>
      <c r="E384">
        <v>19.71</v>
      </c>
      <c r="F384">
        <v>0</v>
      </c>
      <c r="G384">
        <v>-0.13</v>
      </c>
      <c r="H384">
        <v>85.24</v>
      </c>
      <c r="I384">
        <v>62.68</v>
      </c>
      <c r="J384">
        <v>9877885146</v>
      </c>
      <c r="K384">
        <v>806875000</v>
      </c>
      <c r="L384">
        <v>3.3891420000000001</v>
      </c>
      <c r="M384">
        <v>1.98</v>
      </c>
      <c r="N384" t="s">
        <v>1175</v>
      </c>
      <c r="O384">
        <v>9.9</v>
      </c>
      <c r="P384">
        <v>0.8</v>
      </c>
    </row>
    <row r="385" spans="1:16" x14ac:dyDescent="0.45">
      <c r="A385" t="s">
        <v>1176</v>
      </c>
      <c r="B385" t="s">
        <v>1177</v>
      </c>
      <c r="C385" t="s">
        <v>32</v>
      </c>
      <c r="D385">
        <v>62.42</v>
      </c>
      <c r="E385">
        <v>16.510000000000002</v>
      </c>
      <c r="F385">
        <v>3.5055350999999999</v>
      </c>
      <c r="G385">
        <v>1.65</v>
      </c>
      <c r="H385">
        <v>69.28</v>
      </c>
      <c r="I385">
        <v>48.92</v>
      </c>
      <c r="J385">
        <v>96282828902</v>
      </c>
      <c r="K385">
        <v>4191000000</v>
      </c>
      <c r="L385">
        <v>4.2636580000000004</v>
      </c>
      <c r="M385">
        <v>3.82</v>
      </c>
      <c r="N385" t="s">
        <v>1178</v>
      </c>
      <c r="O385">
        <v>96.3</v>
      </c>
      <c r="P385">
        <v>4.2</v>
      </c>
    </row>
    <row r="386" spans="1:16" x14ac:dyDescent="0.45">
      <c r="A386" t="s">
        <v>1179</v>
      </c>
      <c r="B386" t="s">
        <v>1180</v>
      </c>
      <c r="C386" t="s">
        <v>18</v>
      </c>
      <c r="D386">
        <v>33.51</v>
      </c>
      <c r="E386">
        <v>17.54</v>
      </c>
      <c r="F386">
        <v>0</v>
      </c>
      <c r="G386">
        <v>1.28</v>
      </c>
      <c r="H386">
        <v>40.104999999999997</v>
      </c>
      <c r="I386">
        <v>30.23</v>
      </c>
      <c r="J386">
        <v>5330131216</v>
      </c>
      <c r="K386">
        <v>649404000</v>
      </c>
      <c r="L386">
        <v>0.77893436000000005</v>
      </c>
      <c r="M386">
        <v>1.43</v>
      </c>
      <c r="N386" t="s">
        <v>1181</v>
      </c>
      <c r="O386">
        <v>5.3</v>
      </c>
      <c r="P386">
        <v>0.6</v>
      </c>
    </row>
    <row r="387" spans="1:16" x14ac:dyDescent="0.45">
      <c r="A387" t="s">
        <v>1182</v>
      </c>
      <c r="B387" t="s">
        <v>1183</v>
      </c>
      <c r="C387" t="s">
        <v>25</v>
      </c>
      <c r="D387">
        <v>96.42</v>
      </c>
      <c r="E387">
        <v>17.07</v>
      </c>
      <c r="F387">
        <v>1.9884668999999999</v>
      </c>
      <c r="G387">
        <v>5.5</v>
      </c>
      <c r="H387">
        <v>112.965</v>
      </c>
      <c r="I387">
        <v>90.1</v>
      </c>
      <c r="J387">
        <v>13578300000</v>
      </c>
      <c r="K387">
        <v>1453000000</v>
      </c>
      <c r="L387">
        <v>1.7709883</v>
      </c>
      <c r="M387">
        <v>2.82</v>
      </c>
      <c r="N387" t="s">
        <v>1184</v>
      </c>
      <c r="O387">
        <v>13.6</v>
      </c>
      <c r="P387">
        <v>1.5</v>
      </c>
    </row>
    <row r="388" spans="1:16" x14ac:dyDescent="0.45">
      <c r="A388" t="s">
        <v>1185</v>
      </c>
      <c r="B388" t="s">
        <v>1186</v>
      </c>
      <c r="C388" t="s">
        <v>156</v>
      </c>
      <c r="D388">
        <v>12.82</v>
      </c>
      <c r="E388">
        <v>35.61</v>
      </c>
      <c r="F388">
        <v>0.60975610000000002</v>
      </c>
      <c r="G388">
        <v>-2.79</v>
      </c>
      <c r="H388">
        <v>34.090000000000003</v>
      </c>
      <c r="I388">
        <v>12.7</v>
      </c>
      <c r="J388">
        <v>3255587970</v>
      </c>
      <c r="K388">
        <v>820095000</v>
      </c>
      <c r="L388">
        <v>1.9624339</v>
      </c>
      <c r="M388">
        <v>0.59</v>
      </c>
      <c r="N388" t="s">
        <v>1187</v>
      </c>
      <c r="O388">
        <v>3.3</v>
      </c>
      <c r="P388">
        <v>0.8</v>
      </c>
    </row>
    <row r="389" spans="1:16" x14ac:dyDescent="0.45">
      <c r="A389" t="s">
        <v>1188</v>
      </c>
      <c r="B389" t="s">
        <v>1189</v>
      </c>
      <c r="C389" t="s">
        <v>59</v>
      </c>
      <c r="D389">
        <v>86.06</v>
      </c>
      <c r="E389">
        <v>16.940000000000001</v>
      </c>
      <c r="F389">
        <v>1.0982976</v>
      </c>
      <c r="G389">
        <v>4.12</v>
      </c>
      <c r="H389">
        <v>99.1</v>
      </c>
      <c r="I389">
        <v>71.349999999999994</v>
      </c>
      <c r="J389">
        <v>13216271700</v>
      </c>
      <c r="K389">
        <v>0</v>
      </c>
      <c r="L389">
        <v>1.9734555</v>
      </c>
      <c r="M389">
        <v>2.34</v>
      </c>
      <c r="N389" t="s">
        <v>1190</v>
      </c>
      <c r="O389">
        <v>13.2</v>
      </c>
      <c r="P389">
        <v>0</v>
      </c>
    </row>
    <row r="390" spans="1:16" x14ac:dyDescent="0.45">
      <c r="A390" t="s">
        <v>1191</v>
      </c>
      <c r="B390" t="s">
        <v>1192</v>
      </c>
      <c r="C390" t="s">
        <v>18</v>
      </c>
      <c r="D390">
        <v>198.74</v>
      </c>
      <c r="E390">
        <v>25.78</v>
      </c>
      <c r="F390">
        <v>1.5612763999999999</v>
      </c>
      <c r="G390">
        <v>6.95</v>
      </c>
      <c r="H390">
        <v>213.45</v>
      </c>
      <c r="I390">
        <v>147.86000000000001</v>
      </c>
      <c r="J390">
        <v>59066255840</v>
      </c>
      <c r="K390">
        <v>3868000000</v>
      </c>
      <c r="L390">
        <v>2.2938328000000001</v>
      </c>
      <c r="M390">
        <v>5.28</v>
      </c>
      <c r="N390" t="s">
        <v>1193</v>
      </c>
      <c r="O390">
        <v>59.1</v>
      </c>
      <c r="P390">
        <v>3.9</v>
      </c>
    </row>
    <row r="391" spans="1:16" x14ac:dyDescent="0.45">
      <c r="A391" t="s">
        <v>1194</v>
      </c>
      <c r="B391" t="s">
        <v>1195</v>
      </c>
      <c r="C391" t="s">
        <v>82</v>
      </c>
      <c r="D391">
        <v>47.56</v>
      </c>
      <c r="E391">
        <v>15.54</v>
      </c>
      <c r="F391">
        <v>5.3720359999999996</v>
      </c>
      <c r="G391">
        <v>1.1200000000000001</v>
      </c>
      <c r="H391">
        <v>63.6</v>
      </c>
      <c r="I391">
        <v>48.89</v>
      </c>
      <c r="J391">
        <v>13784942453</v>
      </c>
      <c r="K391">
        <v>1075568000</v>
      </c>
      <c r="L391">
        <v>15.588069000000001</v>
      </c>
      <c r="M391">
        <v>1.92</v>
      </c>
      <c r="N391" t="s">
        <v>1196</v>
      </c>
      <c r="O391">
        <v>13.8</v>
      </c>
      <c r="P391">
        <v>1.1000000000000001</v>
      </c>
    </row>
    <row r="392" spans="1:16" x14ac:dyDescent="0.45">
      <c r="A392" t="s">
        <v>1197</v>
      </c>
      <c r="B392" t="s">
        <v>1198</v>
      </c>
      <c r="C392" t="s">
        <v>32</v>
      </c>
      <c r="D392">
        <v>124.65</v>
      </c>
      <c r="E392">
        <v>79.900000000000006</v>
      </c>
      <c r="F392">
        <v>0</v>
      </c>
      <c r="G392">
        <v>1.68</v>
      </c>
      <c r="H392">
        <v>135.77000000000001</v>
      </c>
      <c r="I392">
        <v>78.48</v>
      </c>
      <c r="J392">
        <v>22799923883</v>
      </c>
      <c r="K392">
        <v>541809000</v>
      </c>
      <c r="L392">
        <v>8.2020769999999992</v>
      </c>
      <c r="M392">
        <v>15.69</v>
      </c>
      <c r="N392" t="s">
        <v>1199</v>
      </c>
      <c r="O392">
        <v>22.8</v>
      </c>
      <c r="P392">
        <v>0.5</v>
      </c>
    </row>
    <row r="393" spans="1:16" x14ac:dyDescent="0.45">
      <c r="A393" t="s">
        <v>1200</v>
      </c>
      <c r="B393" t="s">
        <v>1201</v>
      </c>
      <c r="C393" t="s">
        <v>82</v>
      </c>
      <c r="D393">
        <v>55.58</v>
      </c>
      <c r="E393">
        <v>15.27</v>
      </c>
      <c r="F393">
        <v>3.6850337999999998</v>
      </c>
      <c r="G393">
        <v>1.43</v>
      </c>
      <c r="H393">
        <v>72.05</v>
      </c>
      <c r="I393">
        <v>56.66</v>
      </c>
      <c r="J393">
        <v>9858367494</v>
      </c>
      <c r="K393">
        <v>487636000</v>
      </c>
      <c r="L393">
        <v>13.762162</v>
      </c>
      <c r="M393">
        <v>1.51</v>
      </c>
      <c r="N393" t="s">
        <v>1202</v>
      </c>
      <c r="O393">
        <v>9.9</v>
      </c>
      <c r="P393">
        <v>0.5</v>
      </c>
    </row>
    <row r="394" spans="1:16" x14ac:dyDescent="0.45">
      <c r="A394" t="s">
        <v>1203</v>
      </c>
      <c r="B394" t="s">
        <v>1204</v>
      </c>
      <c r="C394" t="s">
        <v>25</v>
      </c>
      <c r="D394">
        <v>322.62</v>
      </c>
      <c r="E394">
        <v>27.93</v>
      </c>
      <c r="F394">
        <v>0</v>
      </c>
      <c r="G394">
        <v>7.74</v>
      </c>
      <c r="H394">
        <v>543.55179999999996</v>
      </c>
      <c r="I394">
        <v>319.5</v>
      </c>
      <c r="J394">
        <v>35950369241</v>
      </c>
      <c r="K394">
        <v>2043160000</v>
      </c>
      <c r="L394">
        <v>8.4854099999999999</v>
      </c>
      <c r="M394">
        <v>5.89</v>
      </c>
      <c r="N394" t="s">
        <v>1205</v>
      </c>
      <c r="O394">
        <v>36</v>
      </c>
      <c r="P394">
        <v>2</v>
      </c>
    </row>
    <row r="395" spans="1:16" x14ac:dyDescent="0.45">
      <c r="A395" t="s">
        <v>1206</v>
      </c>
      <c r="B395" t="s">
        <v>1207</v>
      </c>
      <c r="C395" t="s">
        <v>59</v>
      </c>
      <c r="D395">
        <v>17.899999999999999</v>
      </c>
      <c r="E395">
        <v>17.899999999999999</v>
      </c>
      <c r="F395">
        <v>1.8987342</v>
      </c>
      <c r="G395">
        <v>1</v>
      </c>
      <c r="H395">
        <v>19.899999999999999</v>
      </c>
      <c r="I395">
        <v>13</v>
      </c>
      <c r="J395">
        <v>21500640000</v>
      </c>
      <c r="K395">
        <v>0</v>
      </c>
      <c r="L395">
        <v>3.4747710000000001</v>
      </c>
      <c r="M395">
        <v>1.32</v>
      </c>
      <c r="N395" t="s">
        <v>1208</v>
      </c>
      <c r="O395">
        <v>21.5</v>
      </c>
      <c r="P395">
        <v>0</v>
      </c>
    </row>
    <row r="396" spans="1:16" x14ac:dyDescent="0.45">
      <c r="A396" t="s">
        <v>1209</v>
      </c>
      <c r="B396" t="s">
        <v>1210</v>
      </c>
      <c r="C396" t="s">
        <v>18</v>
      </c>
      <c r="D396">
        <v>62.72</v>
      </c>
      <c r="E396">
        <v>26.13</v>
      </c>
      <c r="F396">
        <v>2.1362228000000001</v>
      </c>
      <c r="G396">
        <v>1.77</v>
      </c>
      <c r="H396">
        <v>69.400000000000006</v>
      </c>
      <c r="I396">
        <v>57.53</v>
      </c>
      <c r="J396">
        <v>21590903863</v>
      </c>
      <c r="K396">
        <v>2734000000</v>
      </c>
      <c r="L396">
        <v>2.8841185999999999</v>
      </c>
      <c r="M396">
        <v>2.83</v>
      </c>
      <c r="N396" t="s">
        <v>1211</v>
      </c>
      <c r="O396">
        <v>21.6</v>
      </c>
      <c r="P396">
        <v>2.7</v>
      </c>
    </row>
    <row r="397" spans="1:16" x14ac:dyDescent="0.45">
      <c r="A397" t="s">
        <v>1212</v>
      </c>
      <c r="B397" t="s">
        <v>1213</v>
      </c>
      <c r="C397" t="s">
        <v>25</v>
      </c>
      <c r="D397">
        <v>89.26</v>
      </c>
      <c r="E397">
        <v>31.54</v>
      </c>
      <c r="F397">
        <v>1.5120423000000001</v>
      </c>
      <c r="G397">
        <v>2.41</v>
      </c>
      <c r="H397">
        <v>104.78</v>
      </c>
      <c r="I397">
        <v>67.040000000000006</v>
      </c>
      <c r="J397">
        <v>13233622689</v>
      </c>
      <c r="K397">
        <v>636942000</v>
      </c>
      <c r="L397">
        <v>6.1640686999999996</v>
      </c>
      <c r="M397">
        <v>6.61</v>
      </c>
      <c r="N397" t="s">
        <v>1214</v>
      </c>
      <c r="O397">
        <v>13.2</v>
      </c>
      <c r="P397">
        <v>0.6</v>
      </c>
    </row>
    <row r="398" spans="1:16" x14ac:dyDescent="0.45">
      <c r="A398" t="s">
        <v>1215</v>
      </c>
      <c r="B398" t="s">
        <v>1216</v>
      </c>
      <c r="C398" t="s">
        <v>18</v>
      </c>
      <c r="D398">
        <v>52.26</v>
      </c>
      <c r="E398">
        <v>20.18</v>
      </c>
      <c r="F398">
        <v>1.7075773000000001</v>
      </c>
      <c r="G398">
        <v>2.3199999999999998</v>
      </c>
      <c r="H398">
        <v>60.59</v>
      </c>
      <c r="I398">
        <v>42.92</v>
      </c>
      <c r="J398">
        <v>7047165475</v>
      </c>
      <c r="K398">
        <v>565196000</v>
      </c>
      <c r="L398">
        <v>1.3330401999999999</v>
      </c>
      <c r="M398">
        <v>5.98</v>
      </c>
      <c r="N398" t="s">
        <v>1217</v>
      </c>
      <c r="O398">
        <v>7</v>
      </c>
      <c r="P398">
        <v>0.6</v>
      </c>
    </row>
    <row r="399" spans="1:16" x14ac:dyDescent="0.45">
      <c r="A399" t="s">
        <v>1218</v>
      </c>
      <c r="B399" t="s">
        <v>1219</v>
      </c>
      <c r="C399" t="s">
        <v>18</v>
      </c>
      <c r="D399">
        <v>178.73</v>
      </c>
      <c r="E399">
        <v>26.48</v>
      </c>
      <c r="F399">
        <v>1.7692551999999999</v>
      </c>
      <c r="G399">
        <v>6.35</v>
      </c>
      <c r="H399">
        <v>210.72</v>
      </c>
      <c r="I399">
        <v>147.66999999999999</v>
      </c>
      <c r="J399">
        <v>24123216432</v>
      </c>
      <c r="K399">
        <v>1323200000</v>
      </c>
      <c r="L399">
        <v>3.7605940000000002</v>
      </c>
      <c r="M399">
        <v>10.94</v>
      </c>
      <c r="N399" t="s">
        <v>1220</v>
      </c>
      <c r="O399">
        <v>24.1</v>
      </c>
      <c r="P399">
        <v>1.3</v>
      </c>
    </row>
    <row r="400" spans="1:16" x14ac:dyDescent="0.45">
      <c r="A400" t="s">
        <v>1221</v>
      </c>
      <c r="B400" t="s">
        <v>1222</v>
      </c>
      <c r="C400" t="s">
        <v>18</v>
      </c>
      <c r="D400">
        <v>133.31</v>
      </c>
      <c r="E400">
        <v>22.29</v>
      </c>
      <c r="F400">
        <v>0.97488920000000001</v>
      </c>
      <c r="G400">
        <v>4.8</v>
      </c>
      <c r="H400">
        <v>139.63</v>
      </c>
      <c r="I400">
        <v>89.9</v>
      </c>
      <c r="J400">
        <v>22197870556</v>
      </c>
      <c r="K400">
        <v>1696000000</v>
      </c>
      <c r="L400">
        <v>3.7812730000000001</v>
      </c>
      <c r="M400">
        <v>3.46</v>
      </c>
      <c r="N400" t="s">
        <v>1223</v>
      </c>
      <c r="O400">
        <v>22.2</v>
      </c>
      <c r="P400">
        <v>1.7</v>
      </c>
    </row>
    <row r="401" spans="1:16" x14ac:dyDescent="0.45">
      <c r="A401" t="s">
        <v>1224</v>
      </c>
      <c r="B401" t="s">
        <v>1225</v>
      </c>
      <c r="C401" t="s">
        <v>18</v>
      </c>
      <c r="D401">
        <v>259.39999999999998</v>
      </c>
      <c r="E401">
        <v>27.57</v>
      </c>
      <c r="F401">
        <v>0.61985796999999998</v>
      </c>
      <c r="G401">
        <v>9.3800000000000008</v>
      </c>
      <c r="H401">
        <v>290.41500000000002</v>
      </c>
      <c r="I401">
        <v>191.22</v>
      </c>
      <c r="J401">
        <v>27247789759</v>
      </c>
      <c r="K401">
        <v>1555209000</v>
      </c>
      <c r="L401">
        <v>5.9715904999999996</v>
      </c>
      <c r="M401">
        <v>4.2300000000000004</v>
      </c>
      <c r="N401" t="s">
        <v>1226</v>
      </c>
      <c r="O401">
        <v>27.2</v>
      </c>
      <c r="P401">
        <v>1.6</v>
      </c>
    </row>
    <row r="402" spans="1:16" x14ac:dyDescent="0.45">
      <c r="A402" t="s">
        <v>1227</v>
      </c>
      <c r="B402" t="s">
        <v>1228</v>
      </c>
      <c r="C402" t="s">
        <v>45</v>
      </c>
      <c r="D402">
        <v>75.06</v>
      </c>
      <c r="E402">
        <v>26.52</v>
      </c>
      <c r="F402">
        <v>0.82061803</v>
      </c>
      <c r="G402">
        <v>2.83</v>
      </c>
      <c r="H402">
        <v>85.66</v>
      </c>
      <c r="I402">
        <v>52.85</v>
      </c>
      <c r="J402">
        <v>29803566306</v>
      </c>
      <c r="K402">
        <v>2247009000</v>
      </c>
      <c r="L402">
        <v>2.9734495000000001</v>
      </c>
      <c r="M402">
        <v>10.28</v>
      </c>
      <c r="N402" t="s">
        <v>1229</v>
      </c>
      <c r="O402">
        <v>29.8</v>
      </c>
      <c r="P402">
        <v>2.2000000000000002</v>
      </c>
    </row>
    <row r="403" spans="1:16" x14ac:dyDescent="0.45">
      <c r="A403" t="s">
        <v>1230</v>
      </c>
      <c r="B403" t="s">
        <v>1231</v>
      </c>
      <c r="C403" t="s">
        <v>45</v>
      </c>
      <c r="D403">
        <v>122.45</v>
      </c>
      <c r="E403">
        <v>16.260000000000002</v>
      </c>
      <c r="F403">
        <v>1.8674135999999999</v>
      </c>
      <c r="G403">
        <v>7.53</v>
      </c>
      <c r="H403">
        <v>135.65</v>
      </c>
      <c r="I403">
        <v>93.4</v>
      </c>
      <c r="J403">
        <v>27418147452</v>
      </c>
      <c r="K403">
        <v>2876309000</v>
      </c>
      <c r="L403">
        <v>3.1026611000000002</v>
      </c>
      <c r="M403">
        <v>2.56</v>
      </c>
      <c r="N403" t="s">
        <v>1232</v>
      </c>
      <c r="O403">
        <v>27.4</v>
      </c>
      <c r="P403">
        <v>2.9</v>
      </c>
    </row>
    <row r="404" spans="1:16" x14ac:dyDescent="0.45">
      <c r="A404" t="s">
        <v>1233</v>
      </c>
      <c r="B404" t="s">
        <v>1234</v>
      </c>
      <c r="C404" t="s">
        <v>59</v>
      </c>
      <c r="D404">
        <v>173.31</v>
      </c>
      <c r="E404">
        <v>27.38</v>
      </c>
      <c r="F404">
        <v>1.0947506</v>
      </c>
      <c r="G404">
        <v>7.95</v>
      </c>
      <c r="H404">
        <v>185.38</v>
      </c>
      <c r="I404">
        <v>124.64</v>
      </c>
      <c r="J404">
        <v>46585950000</v>
      </c>
      <c r="K404">
        <v>3021000000</v>
      </c>
      <c r="L404">
        <v>10.254704</v>
      </c>
      <c r="M404">
        <v>50.56</v>
      </c>
      <c r="N404" t="s">
        <v>1235</v>
      </c>
      <c r="O404">
        <v>46.6</v>
      </c>
      <c r="P404">
        <v>3</v>
      </c>
    </row>
    <row r="405" spans="1:16" x14ac:dyDescent="0.45">
      <c r="A405" t="s">
        <v>1236</v>
      </c>
      <c r="B405" t="s">
        <v>1237</v>
      </c>
      <c r="C405" t="s">
        <v>32</v>
      </c>
      <c r="D405">
        <v>104.03</v>
      </c>
      <c r="E405">
        <v>520.15</v>
      </c>
      <c r="F405">
        <v>0</v>
      </c>
      <c r="G405">
        <v>0.27</v>
      </c>
      <c r="H405">
        <v>114.52</v>
      </c>
      <c r="I405">
        <v>79.63</v>
      </c>
      <c r="J405">
        <v>79489115000</v>
      </c>
      <c r="K405">
        <v>925804000</v>
      </c>
      <c r="L405">
        <v>10.3738785</v>
      </c>
      <c r="M405">
        <v>8.81</v>
      </c>
      <c r="N405" t="s">
        <v>1238</v>
      </c>
      <c r="O405">
        <v>79.5</v>
      </c>
      <c r="P405">
        <v>0.9</v>
      </c>
    </row>
    <row r="406" spans="1:16" x14ac:dyDescent="0.45">
      <c r="A406" t="s">
        <v>1239</v>
      </c>
      <c r="B406" t="s">
        <v>1240</v>
      </c>
      <c r="C406" t="s">
        <v>82</v>
      </c>
      <c r="D406">
        <v>159.85</v>
      </c>
      <c r="E406">
        <v>199.81</v>
      </c>
      <c r="F406">
        <v>0</v>
      </c>
      <c r="G406">
        <v>0.62</v>
      </c>
      <c r="H406">
        <v>177.67</v>
      </c>
      <c r="I406">
        <v>103.51</v>
      </c>
      <c r="J406">
        <v>19572031314</v>
      </c>
      <c r="K406">
        <v>1074240000</v>
      </c>
      <c r="L406">
        <v>15.189207</v>
      </c>
      <c r="M406">
        <v>91.04</v>
      </c>
      <c r="N406" t="s">
        <v>1241</v>
      </c>
      <c r="O406">
        <v>19.600000000000001</v>
      </c>
      <c r="P406">
        <v>1.1000000000000001</v>
      </c>
    </row>
    <row r="407" spans="1:16" x14ac:dyDescent="0.45">
      <c r="A407" t="s">
        <v>1242</v>
      </c>
      <c r="B407" t="s">
        <v>1243</v>
      </c>
      <c r="C407" t="s">
        <v>52</v>
      </c>
      <c r="D407">
        <v>35.6</v>
      </c>
      <c r="E407">
        <v>8.75</v>
      </c>
      <c r="F407">
        <v>6.6830334999999996</v>
      </c>
      <c r="G407">
        <v>4.16</v>
      </c>
      <c r="H407">
        <v>71.28</v>
      </c>
      <c r="I407">
        <v>35.31</v>
      </c>
      <c r="J407">
        <v>5229448882</v>
      </c>
      <c r="K407">
        <v>1459000000</v>
      </c>
      <c r="L407">
        <v>1.651705</v>
      </c>
      <c r="M407">
        <v>0.92</v>
      </c>
      <c r="N407" t="s">
        <v>1244</v>
      </c>
      <c r="O407">
        <v>5.2</v>
      </c>
      <c r="P407">
        <v>1.5</v>
      </c>
    </row>
    <row r="408" spans="1:16" x14ac:dyDescent="0.45">
      <c r="A408" t="s">
        <v>1245</v>
      </c>
      <c r="B408" t="s">
        <v>1246</v>
      </c>
      <c r="C408" t="s">
        <v>156</v>
      </c>
      <c r="D408">
        <v>67.400000000000006</v>
      </c>
      <c r="E408">
        <v>44.93</v>
      </c>
      <c r="F408">
        <v>2.8673834999999999</v>
      </c>
      <c r="G408">
        <v>-1.08</v>
      </c>
      <c r="H408">
        <v>82.71</v>
      </c>
      <c r="I408">
        <v>61.02</v>
      </c>
      <c r="J408">
        <v>96529311126</v>
      </c>
      <c r="K408">
        <v>3222000000</v>
      </c>
      <c r="L408">
        <v>3.2297828000000002</v>
      </c>
      <c r="M408">
        <v>2.64</v>
      </c>
      <c r="N408" t="s">
        <v>1247</v>
      </c>
      <c r="O408">
        <v>96.5</v>
      </c>
      <c r="P408">
        <v>3.2</v>
      </c>
    </row>
    <row r="409" spans="1:16" x14ac:dyDescent="0.45">
      <c r="A409" t="s">
        <v>1248</v>
      </c>
      <c r="B409" t="s">
        <v>1249</v>
      </c>
      <c r="C409" t="s">
        <v>45</v>
      </c>
      <c r="D409">
        <v>86.46</v>
      </c>
      <c r="E409">
        <v>16.04</v>
      </c>
      <c r="F409">
        <v>1.3761467999999999</v>
      </c>
      <c r="G409">
        <v>5.18</v>
      </c>
      <c r="H409">
        <v>88.87</v>
      </c>
      <c r="I409">
        <v>64.87</v>
      </c>
      <c r="J409">
        <v>11328642413</v>
      </c>
      <c r="K409">
        <v>1351059000</v>
      </c>
      <c r="L409">
        <v>4.3740790000000001</v>
      </c>
      <c r="M409">
        <v>4.22</v>
      </c>
      <c r="N409" t="s">
        <v>1250</v>
      </c>
      <c r="O409">
        <v>11.3</v>
      </c>
      <c r="P409">
        <v>1.4</v>
      </c>
    </row>
    <row r="410" spans="1:16" x14ac:dyDescent="0.45">
      <c r="A410" t="s">
        <v>1251</v>
      </c>
      <c r="B410" t="s">
        <v>1252</v>
      </c>
      <c r="C410" t="s">
        <v>32</v>
      </c>
      <c r="D410">
        <v>47.44</v>
      </c>
      <c r="E410">
        <v>11.51</v>
      </c>
      <c r="F410">
        <v>5.0857720000000004</v>
      </c>
      <c r="G410">
        <v>2.58</v>
      </c>
      <c r="H410">
        <v>56.45</v>
      </c>
      <c r="I410">
        <v>30.6</v>
      </c>
      <c r="J410">
        <v>14113197720</v>
      </c>
      <c r="K410">
        <v>1811000000</v>
      </c>
      <c r="L410">
        <v>1.3048557999999999</v>
      </c>
      <c r="M410">
        <v>13.33</v>
      </c>
      <c r="N410" t="s">
        <v>1253</v>
      </c>
      <c r="O410">
        <v>14.1</v>
      </c>
      <c r="P410">
        <v>1.8</v>
      </c>
    </row>
    <row r="411" spans="1:16" x14ac:dyDescent="0.45">
      <c r="A411" t="s">
        <v>1254</v>
      </c>
      <c r="B411" t="s">
        <v>1255</v>
      </c>
      <c r="C411" t="s">
        <v>69</v>
      </c>
      <c r="D411">
        <v>42.62</v>
      </c>
      <c r="E411">
        <v>21.31</v>
      </c>
      <c r="F411">
        <v>1.4427411999999999</v>
      </c>
      <c r="G411">
        <v>2.46</v>
      </c>
      <c r="H411">
        <v>50.62</v>
      </c>
      <c r="I411">
        <v>41.22</v>
      </c>
      <c r="J411">
        <v>8001938397</v>
      </c>
      <c r="K411">
        <v>969700000</v>
      </c>
      <c r="L411">
        <v>2.4700066999999999</v>
      </c>
      <c r="M411">
        <v>10.55</v>
      </c>
      <c r="N411" t="s">
        <v>1256</v>
      </c>
      <c r="O411">
        <v>8</v>
      </c>
      <c r="P411">
        <v>1</v>
      </c>
    </row>
    <row r="412" spans="1:16" x14ac:dyDescent="0.45">
      <c r="A412" t="s">
        <v>1257</v>
      </c>
      <c r="B412" t="s">
        <v>1258</v>
      </c>
      <c r="C412" t="s">
        <v>52</v>
      </c>
      <c r="D412">
        <v>103.36</v>
      </c>
      <c r="E412">
        <v>19.14</v>
      </c>
      <c r="F412">
        <v>3.1607262999999999</v>
      </c>
      <c r="G412">
        <v>5.45</v>
      </c>
      <c r="H412">
        <v>122.97499999999999</v>
      </c>
      <c r="I412">
        <v>100.63</v>
      </c>
      <c r="J412">
        <v>26163862235</v>
      </c>
      <c r="K412">
        <v>3763000000</v>
      </c>
      <c r="L412">
        <v>3.1530300000000002</v>
      </c>
      <c r="M412">
        <v>1.98</v>
      </c>
      <c r="N412" t="s">
        <v>1259</v>
      </c>
      <c r="O412">
        <v>26.2</v>
      </c>
      <c r="P412">
        <v>3.8</v>
      </c>
    </row>
    <row r="413" spans="1:16" x14ac:dyDescent="0.45">
      <c r="A413" t="s">
        <v>1260</v>
      </c>
      <c r="B413" t="s">
        <v>1261</v>
      </c>
      <c r="C413" t="s">
        <v>69</v>
      </c>
      <c r="D413">
        <v>387.65</v>
      </c>
      <c r="E413">
        <v>26.75</v>
      </c>
      <c r="F413">
        <v>0.8426688</v>
      </c>
      <c r="G413">
        <v>18.61</v>
      </c>
      <c r="H413">
        <v>435.15</v>
      </c>
      <c r="I413">
        <v>302.01010000000002</v>
      </c>
      <c r="J413">
        <v>37730994828</v>
      </c>
      <c r="K413">
        <v>2160668000</v>
      </c>
      <c r="L413">
        <v>2.5276076999999999</v>
      </c>
      <c r="M413">
        <v>13.42</v>
      </c>
      <c r="N413" t="s">
        <v>1262</v>
      </c>
      <c r="O413">
        <v>37.700000000000003</v>
      </c>
      <c r="P413">
        <v>2.2000000000000002</v>
      </c>
    </row>
    <row r="414" spans="1:16" x14ac:dyDescent="0.45">
      <c r="A414" t="s">
        <v>1263</v>
      </c>
      <c r="B414" t="s">
        <v>1264</v>
      </c>
      <c r="C414" t="s">
        <v>45</v>
      </c>
      <c r="D414">
        <v>49.38</v>
      </c>
      <c r="E414">
        <v>6.65</v>
      </c>
      <c r="F414">
        <v>2.4730753999999999</v>
      </c>
      <c r="G414">
        <v>7.03</v>
      </c>
      <c r="H414">
        <v>77.94</v>
      </c>
      <c r="I414">
        <v>46.09</v>
      </c>
      <c r="J414">
        <v>3034275549</v>
      </c>
      <c r="K414">
        <v>852700000</v>
      </c>
      <c r="L414">
        <v>0.75646990000000003</v>
      </c>
      <c r="M414">
        <v>1.38</v>
      </c>
      <c r="N414" t="s">
        <v>1265</v>
      </c>
      <c r="O414">
        <v>3</v>
      </c>
      <c r="P414">
        <v>0.9</v>
      </c>
    </row>
    <row r="415" spans="1:16" x14ac:dyDescent="0.45">
      <c r="A415" t="s">
        <v>1266</v>
      </c>
      <c r="B415" t="s">
        <v>1267</v>
      </c>
      <c r="C415" t="s">
        <v>82</v>
      </c>
      <c r="D415">
        <v>152.18</v>
      </c>
      <c r="E415">
        <v>13.56</v>
      </c>
      <c r="F415">
        <v>5.0368075000000001</v>
      </c>
      <c r="G415">
        <v>6.25</v>
      </c>
      <c r="H415">
        <v>187.35</v>
      </c>
      <c r="I415">
        <v>150.15</v>
      </c>
      <c r="J415">
        <v>48139839531</v>
      </c>
      <c r="K415">
        <v>4411515000</v>
      </c>
      <c r="L415">
        <v>8.7544950000000004</v>
      </c>
      <c r="M415">
        <v>13.24</v>
      </c>
      <c r="N415" t="s">
        <v>1268</v>
      </c>
      <c r="O415">
        <v>48.1</v>
      </c>
      <c r="P415">
        <v>4.4000000000000004</v>
      </c>
    </row>
    <row r="416" spans="1:16" x14ac:dyDescent="0.45">
      <c r="A416" t="s">
        <v>1269</v>
      </c>
      <c r="B416" t="s">
        <v>1270</v>
      </c>
      <c r="C416" t="s">
        <v>32</v>
      </c>
      <c r="D416">
        <v>99.04</v>
      </c>
      <c r="E416">
        <v>16.45</v>
      </c>
      <c r="F416">
        <v>1.2629501999999999</v>
      </c>
      <c r="G416">
        <v>5.41</v>
      </c>
      <c r="H416">
        <v>117.65</v>
      </c>
      <c r="I416">
        <v>90.53</v>
      </c>
      <c r="J416">
        <v>18493080922</v>
      </c>
      <c r="K416">
        <v>1122900000</v>
      </c>
      <c r="L416">
        <v>6.9704436999999997</v>
      </c>
      <c r="M416">
        <v>4.25</v>
      </c>
      <c r="N416" t="s">
        <v>1271</v>
      </c>
      <c r="O416">
        <v>18.5</v>
      </c>
      <c r="P416">
        <v>1.1000000000000001</v>
      </c>
    </row>
    <row r="417" spans="1:16" x14ac:dyDescent="0.45">
      <c r="A417" t="s">
        <v>1272</v>
      </c>
      <c r="B417" t="s">
        <v>1273</v>
      </c>
      <c r="C417" t="s">
        <v>82</v>
      </c>
      <c r="D417">
        <v>90.61</v>
      </c>
      <c r="E417">
        <v>14.07</v>
      </c>
      <c r="F417">
        <v>3.4998922000000001</v>
      </c>
      <c r="G417">
        <v>0.88</v>
      </c>
      <c r="H417">
        <v>115.34</v>
      </c>
      <c r="I417">
        <v>91.2</v>
      </c>
      <c r="J417">
        <v>8617714345</v>
      </c>
      <c r="K417">
        <v>795889000</v>
      </c>
      <c r="L417">
        <v>6.5820084000000003</v>
      </c>
      <c r="M417">
        <v>1.32</v>
      </c>
      <c r="N417" t="s">
        <v>1274</v>
      </c>
      <c r="O417">
        <v>8.6</v>
      </c>
      <c r="P417">
        <v>0.8</v>
      </c>
    </row>
    <row r="418" spans="1:16" x14ac:dyDescent="0.45">
      <c r="A418" t="s">
        <v>1275</v>
      </c>
      <c r="B418" t="s">
        <v>1276</v>
      </c>
      <c r="C418" t="s">
        <v>45</v>
      </c>
      <c r="D418">
        <v>156.72</v>
      </c>
      <c r="E418">
        <v>15.81</v>
      </c>
      <c r="F418">
        <v>1.9684330000000001</v>
      </c>
      <c r="G418">
        <v>9.1999999999999993</v>
      </c>
      <c r="H418">
        <v>185.47</v>
      </c>
      <c r="I418">
        <v>140.83000000000001</v>
      </c>
      <c r="J418">
        <v>9499107736</v>
      </c>
      <c r="K418">
        <v>982200000</v>
      </c>
      <c r="L418">
        <v>3.5114812999999998</v>
      </c>
      <c r="M418">
        <v>3.21</v>
      </c>
      <c r="N418" t="s">
        <v>1277</v>
      </c>
      <c r="O418">
        <v>9.5</v>
      </c>
      <c r="P418">
        <v>1</v>
      </c>
    </row>
    <row r="419" spans="1:16" x14ac:dyDescent="0.45">
      <c r="A419" t="s">
        <v>1278</v>
      </c>
      <c r="B419" t="s">
        <v>1279</v>
      </c>
      <c r="C419" t="s">
        <v>52</v>
      </c>
      <c r="D419">
        <v>43.4</v>
      </c>
      <c r="E419">
        <v>15.78</v>
      </c>
      <c r="F419">
        <v>5.3530226000000001</v>
      </c>
      <c r="G419">
        <v>2.5299999999999998</v>
      </c>
      <c r="H419">
        <v>53.51</v>
      </c>
      <c r="I419">
        <v>42.63</v>
      </c>
      <c r="J419">
        <v>43497224128</v>
      </c>
      <c r="K419">
        <v>6012000000</v>
      </c>
      <c r="L419">
        <v>2.5080602000000001</v>
      </c>
      <c r="M419">
        <v>1.82</v>
      </c>
      <c r="N419" t="s">
        <v>1280</v>
      </c>
      <c r="O419">
        <v>43.5</v>
      </c>
      <c r="P419">
        <v>6</v>
      </c>
    </row>
    <row r="420" spans="1:16" x14ac:dyDescent="0.45">
      <c r="A420" t="s">
        <v>1281</v>
      </c>
      <c r="B420" t="s">
        <v>1282</v>
      </c>
      <c r="C420" t="s">
        <v>18</v>
      </c>
      <c r="D420">
        <v>55.63</v>
      </c>
      <c r="E420">
        <v>15.89</v>
      </c>
      <c r="F420">
        <v>0.863707</v>
      </c>
      <c r="G420">
        <v>5.82</v>
      </c>
      <c r="H420">
        <v>66.984999999999999</v>
      </c>
      <c r="I420">
        <v>49.76</v>
      </c>
      <c r="J420">
        <v>34351211637</v>
      </c>
      <c r="K420">
        <v>4533000000</v>
      </c>
      <c r="L420">
        <v>1.6294896999999999</v>
      </c>
      <c r="M420">
        <v>3.84</v>
      </c>
      <c r="N420" t="s">
        <v>1283</v>
      </c>
      <c r="O420">
        <v>34.4</v>
      </c>
      <c r="P420">
        <v>4.5</v>
      </c>
    </row>
    <row r="421" spans="1:16" x14ac:dyDescent="0.45">
      <c r="A421" t="s">
        <v>1284</v>
      </c>
      <c r="B421" t="s">
        <v>1285</v>
      </c>
      <c r="C421" t="s">
        <v>45</v>
      </c>
      <c r="D421">
        <v>152.86000000000001</v>
      </c>
      <c r="E421">
        <v>20.57</v>
      </c>
      <c r="F421">
        <v>1.5775634999999999</v>
      </c>
      <c r="G421">
        <v>8.0500000000000007</v>
      </c>
      <c r="H421">
        <v>176.62</v>
      </c>
      <c r="I421">
        <v>121.09</v>
      </c>
      <c r="J421">
        <v>24496399600</v>
      </c>
      <c r="K421">
        <v>2264600000</v>
      </c>
      <c r="L421">
        <v>1.9443250000000001</v>
      </c>
      <c r="M421">
        <v>3.34</v>
      </c>
      <c r="N421" t="s">
        <v>1286</v>
      </c>
      <c r="O421">
        <v>24.5</v>
      </c>
      <c r="P421">
        <v>2.2999999999999998</v>
      </c>
    </row>
    <row r="422" spans="1:16" x14ac:dyDescent="0.45">
      <c r="A422" t="s">
        <v>1287</v>
      </c>
      <c r="B422" t="s">
        <v>1288</v>
      </c>
      <c r="C422" t="s">
        <v>45</v>
      </c>
      <c r="D422">
        <v>53.77</v>
      </c>
      <c r="E422">
        <v>25.98</v>
      </c>
      <c r="F422">
        <v>2.203452</v>
      </c>
      <c r="G422">
        <v>1.97</v>
      </c>
      <c r="H422">
        <v>64.87</v>
      </c>
      <c r="I422">
        <v>52.58</v>
      </c>
      <c r="J422">
        <v>76548976000</v>
      </c>
      <c r="K422">
        <v>7361500000</v>
      </c>
      <c r="L422">
        <v>3.4392442999999999</v>
      </c>
      <c r="M422">
        <v>13.36</v>
      </c>
      <c r="N422" t="s">
        <v>1289</v>
      </c>
      <c r="O422">
        <v>76.5</v>
      </c>
      <c r="P422">
        <v>7.4</v>
      </c>
    </row>
    <row r="423" spans="1:16" x14ac:dyDescent="0.45">
      <c r="A423" t="s">
        <v>1290</v>
      </c>
      <c r="B423" t="s">
        <v>1291</v>
      </c>
      <c r="C423" t="s">
        <v>59</v>
      </c>
      <c r="D423">
        <v>98.54</v>
      </c>
      <c r="E423">
        <v>15.35</v>
      </c>
      <c r="F423">
        <v>1.6228749</v>
      </c>
      <c r="G423">
        <v>5.23</v>
      </c>
      <c r="H423">
        <v>114.27</v>
      </c>
      <c r="I423">
        <v>75.27</v>
      </c>
      <c r="J423">
        <v>38059113300</v>
      </c>
      <c r="K423">
        <v>0</v>
      </c>
      <c r="L423">
        <v>3.2630720000000002</v>
      </c>
      <c r="M423">
        <v>1.95</v>
      </c>
      <c r="N423" t="s">
        <v>1292</v>
      </c>
      <c r="O423">
        <v>38.1</v>
      </c>
      <c r="P423">
        <v>0</v>
      </c>
    </row>
    <row r="424" spans="1:16" x14ac:dyDescent="0.45">
      <c r="A424" t="s">
        <v>1293</v>
      </c>
      <c r="B424" t="s">
        <v>1294</v>
      </c>
      <c r="C424" t="s">
        <v>18</v>
      </c>
      <c r="D424">
        <v>70.55</v>
      </c>
      <c r="E424">
        <v>16.260000000000002</v>
      </c>
      <c r="F424">
        <v>0</v>
      </c>
      <c r="G424">
        <v>2.08</v>
      </c>
      <c r="H424">
        <v>88</v>
      </c>
      <c r="I424">
        <v>61.25</v>
      </c>
      <c r="J424">
        <v>6218560288</v>
      </c>
      <c r="K424">
        <v>305085000</v>
      </c>
      <c r="L424">
        <v>2.2607324000000002</v>
      </c>
      <c r="M424">
        <v>2.15</v>
      </c>
      <c r="N424" t="s">
        <v>1295</v>
      </c>
      <c r="O424">
        <v>6.2</v>
      </c>
      <c r="P424">
        <v>0.3</v>
      </c>
    </row>
    <row r="425" spans="1:16" x14ac:dyDescent="0.45">
      <c r="A425" t="s">
        <v>1296</v>
      </c>
      <c r="B425" t="s">
        <v>1297</v>
      </c>
      <c r="C425" t="s">
        <v>25</v>
      </c>
      <c r="D425">
        <v>148.01</v>
      </c>
      <c r="E425">
        <v>23.46</v>
      </c>
      <c r="F425">
        <v>1.2234008000000001</v>
      </c>
      <c r="G425">
        <v>2.68</v>
      </c>
      <c r="H425">
        <v>170</v>
      </c>
      <c r="I425">
        <v>122.01</v>
      </c>
      <c r="J425">
        <v>57509096756</v>
      </c>
      <c r="K425">
        <v>2863000000</v>
      </c>
      <c r="L425">
        <v>4.6355659999999999</v>
      </c>
      <c r="M425">
        <v>5.54</v>
      </c>
      <c r="N425" t="s">
        <v>1298</v>
      </c>
      <c r="O425">
        <v>57.5</v>
      </c>
      <c r="P425">
        <v>2.9</v>
      </c>
    </row>
    <row r="426" spans="1:16" x14ac:dyDescent="0.45">
      <c r="A426" t="s">
        <v>1299</v>
      </c>
      <c r="B426" t="s">
        <v>1300</v>
      </c>
      <c r="C426" t="s">
        <v>59</v>
      </c>
      <c r="D426">
        <v>65.8</v>
      </c>
      <c r="E426">
        <v>16.25</v>
      </c>
      <c r="F426">
        <v>2.3185045999999998</v>
      </c>
      <c r="G426">
        <v>4.4800000000000004</v>
      </c>
      <c r="H426">
        <v>72.06</v>
      </c>
      <c r="I426">
        <v>51.96</v>
      </c>
      <c r="J426">
        <v>32498948310</v>
      </c>
      <c r="K426">
        <v>0</v>
      </c>
      <c r="L426">
        <v>3.3089445</v>
      </c>
      <c r="M426">
        <v>1.38</v>
      </c>
      <c r="N426" t="s">
        <v>1301</v>
      </c>
      <c r="O426">
        <v>32.5</v>
      </c>
      <c r="P426">
        <v>0</v>
      </c>
    </row>
    <row r="427" spans="1:16" x14ac:dyDescent="0.45">
      <c r="A427" t="s">
        <v>1302</v>
      </c>
      <c r="B427" t="s">
        <v>1303</v>
      </c>
      <c r="C427" t="s">
        <v>32</v>
      </c>
      <c r="D427">
        <v>25.59</v>
      </c>
      <c r="E427">
        <v>39.369999999999997</v>
      </c>
      <c r="F427">
        <v>1.1286681999999999</v>
      </c>
      <c r="G427">
        <v>-0.17</v>
      </c>
      <c r="H427">
        <v>34.200000000000003</v>
      </c>
      <c r="I427">
        <v>25.65</v>
      </c>
      <c r="J427">
        <v>16520497264</v>
      </c>
      <c r="K427">
        <v>1227000000</v>
      </c>
      <c r="L427">
        <v>3.5516492999999998</v>
      </c>
      <c r="M427">
        <v>3.36</v>
      </c>
      <c r="N427" t="s">
        <v>1304</v>
      </c>
      <c r="O427">
        <v>16.5</v>
      </c>
      <c r="P427">
        <v>1.2</v>
      </c>
    </row>
    <row r="428" spans="1:16" x14ac:dyDescent="0.45">
      <c r="A428" t="s">
        <v>1305</v>
      </c>
      <c r="B428" t="s">
        <v>1306</v>
      </c>
      <c r="C428" t="s">
        <v>59</v>
      </c>
      <c r="D428">
        <v>34.979999999999997</v>
      </c>
      <c r="E428">
        <v>13.35</v>
      </c>
      <c r="F428">
        <v>1.6</v>
      </c>
      <c r="G428">
        <v>2.41</v>
      </c>
      <c r="H428">
        <v>40.590000000000003</v>
      </c>
      <c r="I428">
        <v>26.01</v>
      </c>
      <c r="J428">
        <v>28893750000</v>
      </c>
      <c r="K428">
        <v>0</v>
      </c>
      <c r="L428">
        <v>2.1096623000000001</v>
      </c>
      <c r="M428">
        <v>1.97</v>
      </c>
      <c r="N428" t="s">
        <v>1307</v>
      </c>
      <c r="O428">
        <v>28.9</v>
      </c>
      <c r="P428">
        <v>0</v>
      </c>
    </row>
    <row r="429" spans="1:16" x14ac:dyDescent="0.45">
      <c r="A429" t="s">
        <v>1308</v>
      </c>
      <c r="B429" t="s">
        <v>1309</v>
      </c>
      <c r="C429" t="s">
        <v>32</v>
      </c>
      <c r="D429">
        <v>82.62</v>
      </c>
      <c r="E429">
        <v>67.72</v>
      </c>
      <c r="F429">
        <v>0</v>
      </c>
      <c r="G429">
        <v>0.87</v>
      </c>
      <c r="H429">
        <v>94.8</v>
      </c>
      <c r="I429">
        <v>64.75</v>
      </c>
      <c r="J429">
        <v>12767067883</v>
      </c>
      <c r="K429">
        <v>579844000</v>
      </c>
      <c r="L429">
        <v>6.2762640000000003</v>
      </c>
      <c r="M429">
        <v>3.98</v>
      </c>
      <c r="N429" t="s">
        <v>1310</v>
      </c>
      <c r="O429">
        <v>12.8</v>
      </c>
      <c r="P429">
        <v>0.6</v>
      </c>
    </row>
    <row r="430" spans="1:16" x14ac:dyDescent="0.45">
      <c r="A430" t="s">
        <v>1311</v>
      </c>
      <c r="B430" t="s">
        <v>1312</v>
      </c>
      <c r="C430" t="s">
        <v>113</v>
      </c>
      <c r="D430">
        <v>57</v>
      </c>
      <c r="E430">
        <v>22.98</v>
      </c>
      <c r="F430">
        <v>2.4644873</v>
      </c>
      <c r="G430">
        <v>2.08</v>
      </c>
      <c r="H430">
        <v>64.27</v>
      </c>
      <c r="I430">
        <v>48.85</v>
      </c>
      <c r="J430">
        <v>30445320778</v>
      </c>
      <c r="K430">
        <v>2988725000</v>
      </c>
      <c r="L430">
        <v>0.72955349999999997</v>
      </c>
      <c r="M430">
        <v>13.4</v>
      </c>
      <c r="N430" t="s">
        <v>1313</v>
      </c>
      <c r="O430">
        <v>30.4</v>
      </c>
      <c r="P430">
        <v>3</v>
      </c>
    </row>
    <row r="431" spans="1:16" x14ac:dyDescent="0.45">
      <c r="A431" t="s">
        <v>1314</v>
      </c>
      <c r="B431" t="s">
        <v>1315</v>
      </c>
      <c r="C431" t="s">
        <v>59</v>
      </c>
      <c r="D431">
        <v>101.99</v>
      </c>
      <c r="E431">
        <v>19.920000000000002</v>
      </c>
      <c r="F431">
        <v>2.1404429999999999</v>
      </c>
      <c r="G431">
        <v>4.75</v>
      </c>
      <c r="H431">
        <v>120.07</v>
      </c>
      <c r="I431">
        <v>66.7</v>
      </c>
      <c r="J431">
        <v>25810865035</v>
      </c>
      <c r="K431">
        <v>2281400000</v>
      </c>
      <c r="L431">
        <v>7.3911157000000003</v>
      </c>
      <c r="M431">
        <v>4.6100000000000003</v>
      </c>
      <c r="N431" t="s">
        <v>1316</v>
      </c>
      <c r="O431">
        <v>25.8</v>
      </c>
      <c r="P431">
        <v>2.2999999999999998</v>
      </c>
    </row>
    <row r="432" spans="1:16" x14ac:dyDescent="0.45">
      <c r="A432" t="s">
        <v>1317</v>
      </c>
      <c r="B432" t="s">
        <v>1318</v>
      </c>
      <c r="C432" t="s">
        <v>45</v>
      </c>
      <c r="D432">
        <v>48.85</v>
      </c>
      <c r="F432">
        <v>0</v>
      </c>
      <c r="G432">
        <v>2.09</v>
      </c>
      <c r="H432">
        <v>50.71</v>
      </c>
      <c r="I432">
        <v>36.69</v>
      </c>
      <c r="J432">
        <v>14247199374</v>
      </c>
      <c r="K432">
        <v>0</v>
      </c>
      <c r="L432">
        <v>4.0785494</v>
      </c>
      <c r="M432">
        <v>4.3499999999999996</v>
      </c>
      <c r="N432" t="s">
        <v>1319</v>
      </c>
      <c r="O432">
        <v>14.2</v>
      </c>
      <c r="P432">
        <v>0</v>
      </c>
    </row>
    <row r="433" spans="1:16" x14ac:dyDescent="0.45">
      <c r="A433" t="s">
        <v>1320</v>
      </c>
      <c r="B433" t="s">
        <v>1321</v>
      </c>
      <c r="C433" t="s">
        <v>45</v>
      </c>
      <c r="D433">
        <v>71.11</v>
      </c>
      <c r="E433">
        <v>14.19</v>
      </c>
      <c r="F433">
        <v>3.3856654000000002</v>
      </c>
      <c r="G433">
        <v>4.71</v>
      </c>
      <c r="H433">
        <v>78.7</v>
      </c>
      <c r="I433">
        <v>48.56</v>
      </c>
      <c r="J433">
        <v>39816696539</v>
      </c>
      <c r="K433">
        <v>7105000000</v>
      </c>
      <c r="L433">
        <v>0.80473939999999999</v>
      </c>
      <c r="M433">
        <v>3.45</v>
      </c>
      <c r="N433" t="s">
        <v>1322</v>
      </c>
      <c r="O433">
        <v>39.799999999999997</v>
      </c>
      <c r="P433">
        <v>7.1</v>
      </c>
    </row>
    <row r="434" spans="1:16" x14ac:dyDescent="0.45">
      <c r="A434" t="s">
        <v>1323</v>
      </c>
      <c r="B434" t="s">
        <v>1324</v>
      </c>
      <c r="C434" t="s">
        <v>32</v>
      </c>
      <c r="D434">
        <v>95.27</v>
      </c>
      <c r="E434">
        <v>19.72</v>
      </c>
      <c r="F434">
        <v>1.6062645</v>
      </c>
      <c r="G434">
        <v>4.71</v>
      </c>
      <c r="H434">
        <v>108.23</v>
      </c>
      <c r="I434">
        <v>71.930000000000007</v>
      </c>
      <c r="J434">
        <v>34983666316</v>
      </c>
      <c r="K434">
        <v>2797000000</v>
      </c>
      <c r="L434">
        <v>2.5734365000000001</v>
      </c>
      <c r="M434">
        <v>3.6</v>
      </c>
      <c r="N434" t="s">
        <v>1325</v>
      </c>
      <c r="O434">
        <v>35</v>
      </c>
      <c r="P434">
        <v>2.8</v>
      </c>
    </row>
    <row r="435" spans="1:16" x14ac:dyDescent="0.45">
      <c r="A435" t="s">
        <v>1326</v>
      </c>
      <c r="B435" t="s">
        <v>1327</v>
      </c>
      <c r="C435" t="s">
        <v>156</v>
      </c>
      <c r="D435">
        <v>29.1</v>
      </c>
      <c r="E435">
        <v>18.77</v>
      </c>
      <c r="F435">
        <v>1.7060367000000001</v>
      </c>
      <c r="G435">
        <v>0</v>
      </c>
      <c r="H435">
        <v>35</v>
      </c>
      <c r="I435">
        <v>24.53</v>
      </c>
      <c r="J435">
        <v>14163064455</v>
      </c>
      <c r="K435">
        <v>540167833</v>
      </c>
      <c r="L435">
        <v>1.5615749999999999</v>
      </c>
      <c r="M435">
        <v>1.06</v>
      </c>
      <c r="N435" t="s">
        <v>1328</v>
      </c>
      <c r="O435">
        <v>14.2</v>
      </c>
      <c r="P435">
        <v>0.5</v>
      </c>
    </row>
    <row r="436" spans="1:16" x14ac:dyDescent="0.45">
      <c r="A436" t="s">
        <v>1329</v>
      </c>
      <c r="B436" t="s">
        <v>1330</v>
      </c>
      <c r="C436" t="s">
        <v>32</v>
      </c>
      <c r="D436">
        <v>97.66</v>
      </c>
      <c r="E436">
        <v>24.05</v>
      </c>
      <c r="F436">
        <v>2.4318495000000002</v>
      </c>
      <c r="G436">
        <v>3.6</v>
      </c>
      <c r="H436">
        <v>120.75</v>
      </c>
      <c r="I436">
        <v>74.52</v>
      </c>
      <c r="J436">
        <v>100262526470</v>
      </c>
      <c r="K436">
        <v>7013000000</v>
      </c>
      <c r="L436">
        <v>6.9572234000000002</v>
      </c>
      <c r="M436">
        <v>9.32</v>
      </c>
      <c r="N436" t="s">
        <v>1331</v>
      </c>
      <c r="O436">
        <v>100.3</v>
      </c>
      <c r="P436">
        <v>7</v>
      </c>
    </row>
    <row r="437" spans="1:16" x14ac:dyDescent="0.45">
      <c r="A437" t="s">
        <v>1332</v>
      </c>
      <c r="B437" t="s">
        <v>1333</v>
      </c>
      <c r="C437" t="s">
        <v>18</v>
      </c>
      <c r="D437">
        <v>55.54</v>
      </c>
      <c r="E437">
        <v>22.13</v>
      </c>
      <c r="F437">
        <v>0.1381454</v>
      </c>
      <c r="G437">
        <v>1.1399999999999999</v>
      </c>
      <c r="H437">
        <v>62.19</v>
      </c>
      <c r="I437">
        <v>45</v>
      </c>
      <c r="J437">
        <v>15254672353</v>
      </c>
      <c r="K437">
        <v>1454000000</v>
      </c>
      <c r="L437">
        <v>1.0645694999999999</v>
      </c>
      <c r="M437">
        <v>2.57</v>
      </c>
      <c r="N437" t="s">
        <v>1334</v>
      </c>
      <c r="O437">
        <v>15.3</v>
      </c>
      <c r="P437">
        <v>1.5</v>
      </c>
    </row>
    <row r="438" spans="1:16" x14ac:dyDescent="0.45">
      <c r="A438" t="s">
        <v>1335</v>
      </c>
      <c r="B438" t="s">
        <v>1336</v>
      </c>
      <c r="C438" t="s">
        <v>59</v>
      </c>
      <c r="D438">
        <v>53.29</v>
      </c>
      <c r="E438">
        <v>14.76</v>
      </c>
      <c r="F438">
        <v>1.7347307000000001</v>
      </c>
      <c r="G438">
        <v>3.73</v>
      </c>
      <c r="H438">
        <v>58.99</v>
      </c>
      <c r="I438">
        <v>44.91</v>
      </c>
      <c r="J438">
        <v>56083904906</v>
      </c>
      <c r="K438">
        <v>0</v>
      </c>
      <c r="L438">
        <v>3.3834257000000001</v>
      </c>
      <c r="M438">
        <v>1.49</v>
      </c>
      <c r="N438" t="s">
        <v>1337</v>
      </c>
      <c r="O438">
        <v>56.1</v>
      </c>
      <c r="P438">
        <v>0</v>
      </c>
    </row>
    <row r="439" spans="1:16" x14ac:dyDescent="0.45">
      <c r="A439" t="s">
        <v>1338</v>
      </c>
      <c r="B439" t="s">
        <v>1339</v>
      </c>
      <c r="C439" t="s">
        <v>113</v>
      </c>
      <c r="D439">
        <v>127.76</v>
      </c>
      <c r="E439">
        <v>23.44</v>
      </c>
      <c r="F439">
        <v>2.6286966999999999</v>
      </c>
      <c r="G439">
        <v>5.33</v>
      </c>
      <c r="H439">
        <v>150.4</v>
      </c>
      <c r="I439">
        <v>124.09</v>
      </c>
      <c r="J439">
        <v>16540418002</v>
      </c>
      <c r="K439">
        <v>1295000000</v>
      </c>
      <c r="L439">
        <v>2.798683</v>
      </c>
      <c r="M439">
        <v>21.62</v>
      </c>
      <c r="N439" t="s">
        <v>1340</v>
      </c>
      <c r="O439">
        <v>16.5</v>
      </c>
      <c r="P439">
        <v>1.3</v>
      </c>
    </row>
    <row r="440" spans="1:16" x14ac:dyDescent="0.45">
      <c r="A440" t="s">
        <v>1341</v>
      </c>
      <c r="B440" t="s">
        <v>1342</v>
      </c>
      <c r="C440" t="s">
        <v>25</v>
      </c>
      <c r="D440">
        <v>223.17</v>
      </c>
      <c r="E440">
        <v>22.96</v>
      </c>
      <c r="F440">
        <v>2.6033757000000001E-2</v>
      </c>
      <c r="G440">
        <v>7.52</v>
      </c>
      <c r="H440">
        <v>256.39</v>
      </c>
      <c r="I440">
        <v>187.02</v>
      </c>
      <c r="J440">
        <v>11297958140</v>
      </c>
      <c r="K440">
        <v>615700000</v>
      </c>
      <c r="L440">
        <v>6.8538465000000004</v>
      </c>
      <c r="M440">
        <v>3.57</v>
      </c>
      <c r="N440" t="s">
        <v>1343</v>
      </c>
      <c r="O440">
        <v>11.3</v>
      </c>
      <c r="P440">
        <v>0.6</v>
      </c>
    </row>
    <row r="441" spans="1:16" x14ac:dyDescent="0.45">
      <c r="A441" t="s">
        <v>1344</v>
      </c>
      <c r="B441" t="s">
        <v>1345</v>
      </c>
      <c r="C441" t="s">
        <v>113</v>
      </c>
      <c r="D441">
        <v>97.65</v>
      </c>
      <c r="E441">
        <v>20.51</v>
      </c>
      <c r="F441">
        <v>2.6494346000000002</v>
      </c>
      <c r="G441">
        <v>3.66</v>
      </c>
      <c r="H441">
        <v>116.49</v>
      </c>
      <c r="I441">
        <v>98.850999999999999</v>
      </c>
      <c r="J441">
        <v>20867272020</v>
      </c>
      <c r="K441">
        <v>1404123000</v>
      </c>
      <c r="L441">
        <v>2.8396710999999999</v>
      </c>
      <c r="M441">
        <v>25.64</v>
      </c>
      <c r="N441" t="s">
        <v>1346</v>
      </c>
      <c r="O441">
        <v>20.9</v>
      </c>
      <c r="P441">
        <v>1.4</v>
      </c>
    </row>
    <row r="442" spans="1:16" x14ac:dyDescent="0.45">
      <c r="A442" t="s">
        <v>1347</v>
      </c>
      <c r="B442" t="s">
        <v>1348</v>
      </c>
      <c r="C442" t="s">
        <v>69</v>
      </c>
      <c r="D442">
        <v>24.13</v>
      </c>
      <c r="E442">
        <v>23.66</v>
      </c>
      <c r="F442">
        <v>0.39603959999999999</v>
      </c>
      <c r="G442">
        <v>0.85</v>
      </c>
      <c r="H442">
        <v>34.36</v>
      </c>
      <c r="I442">
        <v>19.23</v>
      </c>
      <c r="J442">
        <v>9726962131</v>
      </c>
      <c r="K442">
        <v>1165100000</v>
      </c>
      <c r="L442">
        <v>1.8161958</v>
      </c>
      <c r="M442">
        <v>0.94</v>
      </c>
      <c r="N442" t="s">
        <v>1349</v>
      </c>
      <c r="O442">
        <v>9.6999999999999993</v>
      </c>
      <c r="P442">
        <v>1.2</v>
      </c>
    </row>
    <row r="443" spans="1:16" x14ac:dyDescent="0.45">
      <c r="A443" t="s">
        <v>1350</v>
      </c>
      <c r="B443" t="s">
        <v>1351</v>
      </c>
      <c r="C443" t="s">
        <v>59</v>
      </c>
      <c r="D443">
        <v>135.01</v>
      </c>
      <c r="E443">
        <v>16.48</v>
      </c>
      <c r="F443">
        <v>2.0261714</v>
      </c>
      <c r="G443">
        <v>7.31</v>
      </c>
      <c r="H443">
        <v>150.55000000000001</v>
      </c>
      <c r="I443">
        <v>113.76</v>
      </c>
      <c r="J443">
        <v>38903131815</v>
      </c>
      <c r="K443">
        <v>0</v>
      </c>
      <c r="L443">
        <v>1.33382</v>
      </c>
      <c r="M443">
        <v>1.63</v>
      </c>
      <c r="N443" t="s">
        <v>1352</v>
      </c>
      <c r="O443">
        <v>38.9</v>
      </c>
      <c r="P443">
        <v>0</v>
      </c>
    </row>
    <row r="444" spans="1:16" x14ac:dyDescent="0.45">
      <c r="A444" t="s">
        <v>1353</v>
      </c>
      <c r="B444" t="s">
        <v>1354</v>
      </c>
      <c r="C444" t="s">
        <v>45</v>
      </c>
      <c r="D444">
        <v>101.35</v>
      </c>
      <c r="E444">
        <v>17.78</v>
      </c>
      <c r="F444">
        <v>1.6036655</v>
      </c>
      <c r="G444">
        <v>5.7</v>
      </c>
      <c r="H444">
        <v>116.1</v>
      </c>
      <c r="I444">
        <v>96.2</v>
      </c>
      <c r="J444">
        <v>157817273295</v>
      </c>
      <c r="K444">
        <v>12544000000</v>
      </c>
      <c r="L444">
        <v>3.9635563</v>
      </c>
      <c r="M444">
        <v>3.82</v>
      </c>
      <c r="N444" t="s">
        <v>1355</v>
      </c>
      <c r="O444">
        <v>157.80000000000001</v>
      </c>
      <c r="P444">
        <v>12.5</v>
      </c>
    </row>
    <row r="445" spans="1:16" x14ac:dyDescent="0.45">
      <c r="A445" t="s">
        <v>1356</v>
      </c>
      <c r="B445" t="s">
        <v>1357</v>
      </c>
      <c r="C445" t="s">
        <v>25</v>
      </c>
      <c r="D445">
        <v>198.73</v>
      </c>
      <c r="E445">
        <v>21.84</v>
      </c>
      <c r="F445">
        <v>0.32763189999999998</v>
      </c>
      <c r="G445">
        <v>5.6</v>
      </c>
      <c r="H445">
        <v>226.44</v>
      </c>
      <c r="I445">
        <v>151.69</v>
      </c>
      <c r="J445">
        <v>83226586345</v>
      </c>
      <c r="K445">
        <v>4751300000</v>
      </c>
      <c r="L445">
        <v>4.0156660000000004</v>
      </c>
      <c r="M445">
        <v>3.38</v>
      </c>
      <c r="N445" t="s">
        <v>1358</v>
      </c>
      <c r="O445">
        <v>83.2</v>
      </c>
      <c r="P445">
        <v>4.8</v>
      </c>
    </row>
    <row r="446" spans="1:16" x14ac:dyDescent="0.45">
      <c r="A446" t="s">
        <v>1359</v>
      </c>
      <c r="B446" t="s">
        <v>1360</v>
      </c>
      <c r="C446" t="s">
        <v>45</v>
      </c>
      <c r="D446">
        <v>99.62</v>
      </c>
      <c r="E446">
        <v>27</v>
      </c>
      <c r="F446">
        <v>1.9402406000000001</v>
      </c>
      <c r="G446">
        <v>3.55</v>
      </c>
      <c r="H446">
        <v>111.44</v>
      </c>
      <c r="I446">
        <v>77.930000000000007</v>
      </c>
      <c r="J446">
        <v>12810515320</v>
      </c>
      <c r="K446">
        <v>949500000</v>
      </c>
      <c r="L446">
        <v>4.5167479999999998</v>
      </c>
      <c r="M446">
        <v>3.97</v>
      </c>
      <c r="N446" t="s">
        <v>1361</v>
      </c>
      <c r="O446">
        <v>12.8</v>
      </c>
      <c r="P446">
        <v>0.9</v>
      </c>
    </row>
    <row r="447" spans="1:16" x14ac:dyDescent="0.45">
      <c r="A447" t="s">
        <v>1362</v>
      </c>
      <c r="B447" t="s">
        <v>1363</v>
      </c>
      <c r="C447" t="s">
        <v>45</v>
      </c>
      <c r="D447">
        <v>93.02</v>
      </c>
      <c r="E447">
        <v>15.35</v>
      </c>
      <c r="F447">
        <v>1.6927768000000001</v>
      </c>
      <c r="G447">
        <v>6.62</v>
      </c>
      <c r="H447">
        <v>103.9</v>
      </c>
      <c r="I447">
        <v>85.88</v>
      </c>
      <c r="J447">
        <v>74185800000</v>
      </c>
      <c r="K447">
        <v>7671000000</v>
      </c>
      <c r="L447">
        <v>2.3735985999999998</v>
      </c>
      <c r="M447">
        <v>2.73</v>
      </c>
      <c r="N447" t="s">
        <v>1364</v>
      </c>
      <c r="O447">
        <v>74.2</v>
      </c>
      <c r="P447">
        <v>7.7</v>
      </c>
    </row>
    <row r="448" spans="1:16" x14ac:dyDescent="0.45">
      <c r="A448" t="s">
        <v>1365</v>
      </c>
      <c r="B448" t="s">
        <v>1366</v>
      </c>
      <c r="C448" t="s">
        <v>45</v>
      </c>
      <c r="D448">
        <v>74.36</v>
      </c>
      <c r="E448">
        <v>21.01</v>
      </c>
      <c r="F448">
        <v>1.64042</v>
      </c>
      <c r="G448">
        <v>3.46</v>
      </c>
      <c r="H448">
        <v>81.459999999999994</v>
      </c>
      <c r="I448">
        <v>66.44</v>
      </c>
      <c r="J448">
        <v>48181450881</v>
      </c>
      <c r="K448">
        <v>4600216000</v>
      </c>
      <c r="L448">
        <v>1.9293598000000001</v>
      </c>
      <c r="M448">
        <v>10.35</v>
      </c>
      <c r="N448" t="s">
        <v>1367</v>
      </c>
      <c r="O448">
        <v>48.2</v>
      </c>
      <c r="P448">
        <v>4.5999999999999996</v>
      </c>
    </row>
    <row r="449" spans="1:16" x14ac:dyDescent="0.45">
      <c r="A449" t="s">
        <v>1368</v>
      </c>
      <c r="B449" t="s">
        <v>1369</v>
      </c>
      <c r="C449" t="s">
        <v>59</v>
      </c>
      <c r="D449">
        <v>80.52</v>
      </c>
      <c r="E449">
        <v>17.02</v>
      </c>
      <c r="F449">
        <v>0.72046109999999997</v>
      </c>
      <c r="G449">
        <v>4.5</v>
      </c>
      <c r="H449">
        <v>93.594999999999999</v>
      </c>
      <c r="I449">
        <v>73.53</v>
      </c>
      <c r="J449">
        <v>9614412169</v>
      </c>
      <c r="K449">
        <v>0</v>
      </c>
      <c r="L449">
        <v>3.1079664</v>
      </c>
      <c r="M449">
        <v>1.88</v>
      </c>
      <c r="N449" t="s">
        <v>1370</v>
      </c>
      <c r="O449">
        <v>9.6</v>
      </c>
      <c r="P449">
        <v>0</v>
      </c>
    </row>
    <row r="450" spans="1:16" x14ac:dyDescent="0.45">
      <c r="A450" t="s">
        <v>1371</v>
      </c>
      <c r="B450" t="s">
        <v>1372</v>
      </c>
      <c r="C450" t="s">
        <v>32</v>
      </c>
      <c r="D450">
        <v>81.17</v>
      </c>
      <c r="E450">
        <v>25.85</v>
      </c>
      <c r="F450">
        <v>0.60911329999999997</v>
      </c>
      <c r="G450">
        <v>3.16</v>
      </c>
      <c r="H450">
        <v>89.92</v>
      </c>
      <c r="I450">
        <v>50.96</v>
      </c>
      <c r="J450">
        <v>15694951118</v>
      </c>
      <c r="K450">
        <v>1097534000</v>
      </c>
      <c r="L450">
        <v>3.175548</v>
      </c>
      <c r="M450">
        <v>6.57</v>
      </c>
      <c r="N450" t="s">
        <v>1373</v>
      </c>
      <c r="O450">
        <v>15.7</v>
      </c>
      <c r="P450">
        <v>1.1000000000000001</v>
      </c>
    </row>
    <row r="451" spans="1:16" x14ac:dyDescent="0.45">
      <c r="A451" t="s">
        <v>1374</v>
      </c>
      <c r="B451" t="s">
        <v>1375</v>
      </c>
      <c r="C451" t="s">
        <v>45</v>
      </c>
      <c r="D451">
        <v>65.94</v>
      </c>
      <c r="E451">
        <v>19.57</v>
      </c>
      <c r="F451">
        <v>1.6030873999999999</v>
      </c>
      <c r="G451">
        <v>3.3</v>
      </c>
      <c r="H451">
        <v>82.68</v>
      </c>
      <c r="I451">
        <v>49.87</v>
      </c>
      <c r="J451">
        <v>8459271203</v>
      </c>
      <c r="K451">
        <v>859519000</v>
      </c>
      <c r="L451">
        <v>1.1642125000000001</v>
      </c>
      <c r="M451">
        <v>6.01</v>
      </c>
      <c r="N451" t="s">
        <v>1376</v>
      </c>
      <c r="O451">
        <v>8.5</v>
      </c>
      <c r="P451">
        <v>0.9</v>
      </c>
    </row>
    <row r="452" spans="1:16" x14ac:dyDescent="0.45">
      <c r="A452" t="s">
        <v>1377</v>
      </c>
      <c r="B452" t="s">
        <v>1378</v>
      </c>
      <c r="C452" t="s">
        <v>18</v>
      </c>
      <c r="D452">
        <v>283</v>
      </c>
      <c r="E452">
        <v>23.76</v>
      </c>
      <c r="F452">
        <v>0</v>
      </c>
      <c r="G452">
        <v>7.92</v>
      </c>
      <c r="H452">
        <v>321.38</v>
      </c>
      <c r="I452">
        <v>203.72</v>
      </c>
      <c r="J452">
        <v>15241203731</v>
      </c>
      <c r="K452">
        <v>1635916000</v>
      </c>
      <c r="L452">
        <v>4.2688319999999997</v>
      </c>
      <c r="N452" t="s">
        <v>1379</v>
      </c>
      <c r="O452">
        <v>15.2</v>
      </c>
      <c r="P452">
        <v>1.6</v>
      </c>
    </row>
    <row r="453" spans="1:16" x14ac:dyDescent="0.45">
      <c r="A453" t="s">
        <v>1380</v>
      </c>
      <c r="B453" t="s">
        <v>1381</v>
      </c>
      <c r="C453" t="s">
        <v>45</v>
      </c>
      <c r="D453">
        <v>40.049999999999997</v>
      </c>
      <c r="E453">
        <v>58.04</v>
      </c>
      <c r="F453">
        <v>0</v>
      </c>
      <c r="G453">
        <v>0.81</v>
      </c>
      <c r="H453">
        <v>53.29</v>
      </c>
      <c r="I453">
        <v>29.5</v>
      </c>
      <c r="J453">
        <v>5700998508</v>
      </c>
      <c r="K453">
        <v>234000000</v>
      </c>
      <c r="L453">
        <v>4.5925775</v>
      </c>
      <c r="M453">
        <v>3.49</v>
      </c>
      <c r="N453" t="s">
        <v>1382</v>
      </c>
      <c r="O453">
        <v>5.7</v>
      </c>
      <c r="P453">
        <v>0.2</v>
      </c>
    </row>
    <row r="454" spans="1:16" x14ac:dyDescent="0.45">
      <c r="A454" t="s">
        <v>1383</v>
      </c>
      <c r="B454" t="s">
        <v>1384</v>
      </c>
      <c r="C454" t="s">
        <v>45</v>
      </c>
      <c r="D454">
        <v>34.56</v>
      </c>
      <c r="E454">
        <v>17.809999999999999</v>
      </c>
      <c r="F454">
        <v>0.99833609999999995</v>
      </c>
      <c r="G454">
        <v>1.59</v>
      </c>
      <c r="H454">
        <v>39.134999999999998</v>
      </c>
      <c r="I454">
        <v>24.81</v>
      </c>
      <c r="J454">
        <v>44027094922</v>
      </c>
      <c r="K454">
        <v>5280000000</v>
      </c>
      <c r="L454">
        <v>2.1080317000000002</v>
      </c>
      <c r="M454">
        <v>4.1100000000000003</v>
      </c>
      <c r="N454" t="s">
        <v>1385</v>
      </c>
      <c r="O454">
        <v>44</v>
      </c>
      <c r="P454">
        <v>5.3</v>
      </c>
    </row>
    <row r="455" spans="1:16" x14ac:dyDescent="0.45">
      <c r="A455" t="s">
        <v>1386</v>
      </c>
      <c r="B455" t="s">
        <v>1387</v>
      </c>
      <c r="C455" t="s">
        <v>45</v>
      </c>
      <c r="D455">
        <v>34.090000000000003</v>
      </c>
      <c r="E455">
        <v>17.57</v>
      </c>
      <c r="F455">
        <v>1.0084033999999999</v>
      </c>
      <c r="G455">
        <v>1.59</v>
      </c>
      <c r="H455">
        <v>38.56</v>
      </c>
      <c r="I455">
        <v>24.3</v>
      </c>
      <c r="J455">
        <v>66135313503</v>
      </c>
      <c r="K455">
        <v>5280000000</v>
      </c>
      <c r="L455">
        <v>3.1654841999999999</v>
      </c>
      <c r="M455">
        <v>4.04</v>
      </c>
      <c r="N455" t="s">
        <v>1388</v>
      </c>
      <c r="O455">
        <v>66.099999999999994</v>
      </c>
      <c r="P455">
        <v>5.3</v>
      </c>
    </row>
    <row r="456" spans="1:16" x14ac:dyDescent="0.45">
      <c r="A456" t="s">
        <v>1389</v>
      </c>
      <c r="B456" t="s">
        <v>1390</v>
      </c>
      <c r="C456" t="s">
        <v>113</v>
      </c>
      <c r="D456">
        <v>73.92</v>
      </c>
      <c r="E456">
        <v>13.92</v>
      </c>
      <c r="F456">
        <v>1.6353229</v>
      </c>
      <c r="G456">
        <v>4.79</v>
      </c>
      <c r="H456">
        <v>84.65</v>
      </c>
      <c r="I456">
        <v>57.2</v>
      </c>
      <c r="J456">
        <v>26957526800</v>
      </c>
      <c r="K456">
        <v>2521000000</v>
      </c>
      <c r="L456">
        <v>0.93730986000000005</v>
      </c>
      <c r="M456">
        <v>2.5499999999999998</v>
      </c>
      <c r="N456" t="s">
        <v>1391</v>
      </c>
      <c r="O456">
        <v>27</v>
      </c>
      <c r="P456">
        <v>2.5</v>
      </c>
    </row>
    <row r="457" spans="1:16" x14ac:dyDescent="0.45">
      <c r="A457" t="s">
        <v>1392</v>
      </c>
      <c r="B457" t="s">
        <v>1393</v>
      </c>
      <c r="C457" t="s">
        <v>59</v>
      </c>
      <c r="D457">
        <v>52.65</v>
      </c>
      <c r="E457">
        <v>15.35</v>
      </c>
      <c r="F457">
        <v>2.189781</v>
      </c>
      <c r="G457">
        <v>3.52</v>
      </c>
      <c r="H457">
        <v>58.5</v>
      </c>
      <c r="I457">
        <v>49.534999999999997</v>
      </c>
      <c r="J457">
        <v>90940115897</v>
      </c>
      <c r="K457">
        <v>0</v>
      </c>
      <c r="L457">
        <v>3.7773547000000001</v>
      </c>
      <c r="M457">
        <v>2.09</v>
      </c>
      <c r="N457" t="s">
        <v>1394</v>
      </c>
      <c r="O457">
        <v>90.9</v>
      </c>
      <c r="P457">
        <v>0</v>
      </c>
    </row>
    <row r="458" spans="1:16" x14ac:dyDescent="0.45">
      <c r="A458" t="s">
        <v>1395</v>
      </c>
      <c r="B458" t="s">
        <v>1396</v>
      </c>
      <c r="C458" t="s">
        <v>82</v>
      </c>
      <c r="D458">
        <v>32.92</v>
      </c>
      <c r="E458">
        <v>17.79</v>
      </c>
      <c r="F458">
        <v>3.6686390000000002</v>
      </c>
      <c r="G458">
        <v>1.08</v>
      </c>
      <c r="H458">
        <v>40.71</v>
      </c>
      <c r="I458">
        <v>33.31</v>
      </c>
      <c r="J458">
        <v>9050154422</v>
      </c>
      <c r="K458">
        <v>665141000</v>
      </c>
      <c r="L458">
        <v>12.365829</v>
      </c>
      <c r="M458">
        <v>3.27</v>
      </c>
      <c r="N458" t="s">
        <v>1397</v>
      </c>
      <c r="O458">
        <v>9.1</v>
      </c>
      <c r="P458">
        <v>0.7</v>
      </c>
    </row>
    <row r="459" spans="1:16" x14ac:dyDescent="0.45">
      <c r="A459" t="s">
        <v>1398</v>
      </c>
      <c r="B459" t="s">
        <v>1399</v>
      </c>
      <c r="C459" t="s">
        <v>45</v>
      </c>
      <c r="D459">
        <v>209.09</v>
      </c>
      <c r="E459">
        <v>32.07</v>
      </c>
      <c r="F459">
        <v>0</v>
      </c>
      <c r="G459">
        <v>6.52</v>
      </c>
      <c r="H459">
        <v>314.86</v>
      </c>
      <c r="I459">
        <v>187.96</v>
      </c>
      <c r="J459">
        <v>13300000127</v>
      </c>
      <c r="K459">
        <v>1002093000</v>
      </c>
      <c r="L459">
        <v>3.3779113000000001</v>
      </c>
      <c r="M459">
        <v>8.0399999999999991</v>
      </c>
      <c r="N459" t="s">
        <v>1400</v>
      </c>
      <c r="O459">
        <v>13.3</v>
      </c>
      <c r="P459">
        <v>1</v>
      </c>
    </row>
    <row r="460" spans="1:16" x14ac:dyDescent="0.45">
      <c r="A460" t="s">
        <v>1401</v>
      </c>
      <c r="B460" t="s">
        <v>1402</v>
      </c>
      <c r="C460" t="s">
        <v>45</v>
      </c>
      <c r="D460">
        <v>13.14</v>
      </c>
      <c r="E460">
        <v>32.049999999999997</v>
      </c>
      <c r="F460">
        <v>0</v>
      </c>
      <c r="G460">
        <v>0.45</v>
      </c>
      <c r="H460">
        <v>23.46</v>
      </c>
      <c r="I460">
        <v>11.4</v>
      </c>
      <c r="J460">
        <v>5856913571</v>
      </c>
      <c r="K460">
        <v>399277000</v>
      </c>
      <c r="L460">
        <v>1.6023080000000001</v>
      </c>
      <c r="M460">
        <v>2.72</v>
      </c>
      <c r="N460" t="s">
        <v>1403</v>
      </c>
      <c r="O460">
        <v>5.9</v>
      </c>
      <c r="P460">
        <v>0.4</v>
      </c>
    </row>
    <row r="461" spans="1:16" x14ac:dyDescent="0.45">
      <c r="A461" t="s">
        <v>1404</v>
      </c>
      <c r="B461" t="s">
        <v>1405</v>
      </c>
      <c r="C461" t="s">
        <v>45</v>
      </c>
      <c r="D461">
        <v>11.95</v>
      </c>
      <c r="E461">
        <v>29.15</v>
      </c>
      <c r="F461">
        <v>0</v>
      </c>
      <c r="G461">
        <v>0.45</v>
      </c>
      <c r="H461">
        <v>21.805</v>
      </c>
      <c r="I461">
        <v>10.36</v>
      </c>
      <c r="J461">
        <v>5366628950</v>
      </c>
      <c r="K461">
        <v>399277000</v>
      </c>
      <c r="L461">
        <v>1.4738787</v>
      </c>
      <c r="M461">
        <v>2.5</v>
      </c>
      <c r="N461" t="s">
        <v>1406</v>
      </c>
      <c r="O461">
        <v>5.4</v>
      </c>
      <c r="P461">
        <v>0.4</v>
      </c>
    </row>
    <row r="462" spans="1:16" x14ac:dyDescent="0.45">
      <c r="A462" t="s">
        <v>1407</v>
      </c>
      <c r="B462" t="s">
        <v>1408</v>
      </c>
      <c r="C462" t="s">
        <v>18</v>
      </c>
      <c r="D462">
        <v>124.86</v>
      </c>
      <c r="E462">
        <v>22.06</v>
      </c>
      <c r="F462">
        <v>2.0626549999999999</v>
      </c>
      <c r="G462">
        <v>13.52</v>
      </c>
      <c r="H462">
        <v>143.05000000000001</v>
      </c>
      <c r="I462">
        <v>101.06</v>
      </c>
      <c r="J462">
        <v>101513290382</v>
      </c>
      <c r="K462">
        <v>10169000000</v>
      </c>
      <c r="L462">
        <v>4.8605074999999998</v>
      </c>
      <c r="N462" t="s">
        <v>1409</v>
      </c>
      <c r="O462">
        <v>101.5</v>
      </c>
      <c r="P462">
        <v>10.199999999999999</v>
      </c>
    </row>
    <row r="463" spans="1:16" x14ac:dyDescent="0.45">
      <c r="A463" t="s">
        <v>1410</v>
      </c>
      <c r="B463" t="s">
        <v>1411</v>
      </c>
      <c r="C463" t="s">
        <v>18</v>
      </c>
      <c r="D463">
        <v>63.37</v>
      </c>
      <c r="E463">
        <v>8.85</v>
      </c>
      <c r="F463">
        <v>0</v>
      </c>
      <c r="G463">
        <v>7.05</v>
      </c>
      <c r="H463">
        <v>83.04</v>
      </c>
      <c r="I463">
        <v>56.51</v>
      </c>
      <c r="J463">
        <v>19363059152</v>
      </c>
      <c r="K463">
        <v>5929000000</v>
      </c>
      <c r="L463">
        <v>0.50204959999999998</v>
      </c>
      <c r="M463">
        <v>2.09</v>
      </c>
      <c r="N463" t="s">
        <v>1412</v>
      </c>
      <c r="O463">
        <v>19.399999999999999</v>
      </c>
      <c r="P463">
        <v>5.9</v>
      </c>
    </row>
    <row r="464" spans="1:16" x14ac:dyDescent="0.45">
      <c r="A464" t="s">
        <v>1413</v>
      </c>
      <c r="B464" t="s">
        <v>1414</v>
      </c>
      <c r="C464" t="s">
        <v>25</v>
      </c>
      <c r="D464">
        <v>216.46</v>
      </c>
      <c r="E464">
        <v>21.47</v>
      </c>
      <c r="F464">
        <v>1.3284917000000001</v>
      </c>
      <c r="G464">
        <v>10.71</v>
      </c>
      <c r="H464">
        <v>250.79</v>
      </c>
      <c r="I464">
        <v>156.49</v>
      </c>
      <c r="J464">
        <v>218834811333</v>
      </c>
      <c r="K464">
        <v>17454000000</v>
      </c>
      <c r="L464">
        <v>1.0903316000000001</v>
      </c>
      <c r="M464">
        <v>4.71</v>
      </c>
      <c r="N464" t="s">
        <v>1415</v>
      </c>
      <c r="O464">
        <v>218.8</v>
      </c>
      <c r="P464">
        <v>17.5</v>
      </c>
    </row>
    <row r="465" spans="1:16" x14ac:dyDescent="0.45">
      <c r="A465" t="s">
        <v>1416</v>
      </c>
      <c r="B465" t="s">
        <v>1417</v>
      </c>
      <c r="C465" t="s">
        <v>18</v>
      </c>
      <c r="D465">
        <v>109.28</v>
      </c>
      <c r="E465">
        <v>18.27</v>
      </c>
      <c r="F465">
        <v>2.9666695999999999</v>
      </c>
      <c r="G465">
        <v>5.62</v>
      </c>
      <c r="H465">
        <v>135.53</v>
      </c>
      <c r="I465">
        <v>102.12</v>
      </c>
      <c r="J465">
        <v>96436356833</v>
      </c>
      <c r="K465">
        <v>7919000000</v>
      </c>
      <c r="L465">
        <v>1.4744618</v>
      </c>
      <c r="M465">
        <v>64.7</v>
      </c>
      <c r="N465" t="s">
        <v>1418</v>
      </c>
      <c r="O465">
        <v>96.4</v>
      </c>
      <c r="P465">
        <v>7.9</v>
      </c>
    </row>
    <row r="466" spans="1:16" x14ac:dyDescent="0.45">
      <c r="A466" t="s">
        <v>1419</v>
      </c>
      <c r="B466" t="s">
        <v>1420</v>
      </c>
      <c r="C466" t="s">
        <v>18</v>
      </c>
      <c r="D466">
        <v>161.99</v>
      </c>
      <c r="E466">
        <v>16.329999999999998</v>
      </c>
      <c r="F466">
        <v>0</v>
      </c>
      <c r="G466">
        <v>15.72</v>
      </c>
      <c r="H466">
        <v>189</v>
      </c>
      <c r="I466">
        <v>100.621</v>
      </c>
      <c r="J466">
        <v>14654954091</v>
      </c>
      <c r="K466">
        <v>2760000000</v>
      </c>
      <c r="L466">
        <v>2.1782618</v>
      </c>
      <c r="M466">
        <v>4.53</v>
      </c>
      <c r="N466" t="s">
        <v>1421</v>
      </c>
      <c r="O466">
        <v>14.7</v>
      </c>
      <c r="P466">
        <v>2.8</v>
      </c>
    </row>
    <row r="467" spans="1:16" x14ac:dyDescent="0.45">
      <c r="A467" t="s">
        <v>1422</v>
      </c>
      <c r="B467" t="s">
        <v>1423</v>
      </c>
      <c r="C467" t="s">
        <v>18</v>
      </c>
      <c r="D467">
        <v>127.48</v>
      </c>
      <c r="E467">
        <v>19.260000000000002</v>
      </c>
      <c r="F467">
        <v>2.1216943000000001</v>
      </c>
      <c r="G467">
        <v>5.7</v>
      </c>
      <c r="H467">
        <v>139.24</v>
      </c>
      <c r="I467">
        <v>107.05</v>
      </c>
      <c r="J467">
        <v>105387272474</v>
      </c>
      <c r="K467">
        <v>10584000000</v>
      </c>
      <c r="L467">
        <v>1.7324123</v>
      </c>
      <c r="M467">
        <v>3.4</v>
      </c>
      <c r="N467" t="s">
        <v>1424</v>
      </c>
      <c r="O467">
        <v>105.4</v>
      </c>
      <c r="P467">
        <v>10.6</v>
      </c>
    </row>
    <row r="468" spans="1:16" x14ac:dyDescent="0.45">
      <c r="A468" t="s">
        <v>1425</v>
      </c>
      <c r="B468" t="s">
        <v>1426</v>
      </c>
      <c r="C468" t="s">
        <v>25</v>
      </c>
      <c r="D468">
        <v>114.87</v>
      </c>
      <c r="E468">
        <v>15.36</v>
      </c>
      <c r="F468">
        <v>0.34153004999999997</v>
      </c>
      <c r="G468">
        <v>7.14</v>
      </c>
      <c r="H468">
        <v>129.74</v>
      </c>
      <c r="I468">
        <v>95.26</v>
      </c>
      <c r="J468">
        <v>11116075286</v>
      </c>
      <c r="K468">
        <v>1676204000</v>
      </c>
      <c r="L468">
        <v>1.3158662000000001</v>
      </c>
      <c r="M468">
        <v>2.21</v>
      </c>
      <c r="N468" t="s">
        <v>1427</v>
      </c>
      <c r="O468">
        <v>11.1</v>
      </c>
      <c r="P468">
        <v>1.7</v>
      </c>
    </row>
    <row r="469" spans="1:16" x14ac:dyDescent="0.45">
      <c r="A469" t="s">
        <v>1428</v>
      </c>
      <c r="B469" t="s">
        <v>1429</v>
      </c>
      <c r="C469" t="s">
        <v>59</v>
      </c>
      <c r="D469">
        <v>47.87</v>
      </c>
      <c r="E469">
        <v>11.51</v>
      </c>
      <c r="F469">
        <v>1.8189006999999999</v>
      </c>
      <c r="G469">
        <v>4.38</v>
      </c>
      <c r="H469">
        <v>58.73</v>
      </c>
      <c r="I469">
        <v>43.55</v>
      </c>
      <c r="J469">
        <v>11256432318</v>
      </c>
      <c r="K469">
        <v>0</v>
      </c>
      <c r="L469">
        <v>0.99849239999999995</v>
      </c>
      <c r="M469">
        <v>1.19</v>
      </c>
      <c r="N469" t="s">
        <v>1430</v>
      </c>
      <c r="O469">
        <v>11.3</v>
      </c>
      <c r="P469">
        <v>0</v>
      </c>
    </row>
    <row r="470" spans="1:16" x14ac:dyDescent="0.45">
      <c r="A470" t="s">
        <v>1431</v>
      </c>
      <c r="B470" t="s">
        <v>1432</v>
      </c>
      <c r="C470" t="s">
        <v>45</v>
      </c>
      <c r="D470">
        <v>78.75</v>
      </c>
      <c r="E470">
        <v>25.9</v>
      </c>
      <c r="F470">
        <v>2.2865665000000002</v>
      </c>
      <c r="G470">
        <v>2.5499999999999998</v>
      </c>
      <c r="H470">
        <v>82.95</v>
      </c>
      <c r="I470">
        <v>48.05</v>
      </c>
      <c r="J470">
        <v>31797645904</v>
      </c>
      <c r="K470">
        <v>1624441000</v>
      </c>
      <c r="L470">
        <v>3.7110943999999999</v>
      </c>
      <c r="M470">
        <v>7.89</v>
      </c>
      <c r="N470" t="s">
        <v>1433</v>
      </c>
      <c r="O470">
        <v>31.8</v>
      </c>
      <c r="P470">
        <v>1.6</v>
      </c>
    </row>
    <row r="471" spans="1:16" x14ac:dyDescent="0.45">
      <c r="A471" t="s">
        <v>1434</v>
      </c>
      <c r="B471" t="s">
        <v>1435</v>
      </c>
      <c r="C471" t="s">
        <v>156</v>
      </c>
      <c r="D471">
        <v>86.77</v>
      </c>
      <c r="E471">
        <v>18.739999999999998</v>
      </c>
      <c r="F471">
        <v>3.5618877000000002</v>
      </c>
      <c r="G471">
        <v>9.24</v>
      </c>
      <c r="H471">
        <v>99.95</v>
      </c>
      <c r="I471">
        <v>60.69</v>
      </c>
      <c r="J471">
        <v>39312309113</v>
      </c>
      <c r="K471">
        <v>5401000000</v>
      </c>
      <c r="L471">
        <v>0.42119180000000001</v>
      </c>
      <c r="M471">
        <v>1.93</v>
      </c>
      <c r="N471" t="s">
        <v>1436</v>
      </c>
      <c r="O471">
        <v>39.299999999999997</v>
      </c>
      <c r="P471">
        <v>5.4</v>
      </c>
    </row>
    <row r="472" spans="1:16" x14ac:dyDescent="0.45">
      <c r="A472" t="s">
        <v>1437</v>
      </c>
      <c r="B472" t="s">
        <v>1438</v>
      </c>
      <c r="C472" t="s">
        <v>25</v>
      </c>
      <c r="D472">
        <v>112.82</v>
      </c>
      <c r="E472">
        <v>29.93</v>
      </c>
      <c r="F472">
        <v>0</v>
      </c>
      <c r="G472">
        <v>2.69</v>
      </c>
      <c r="H472">
        <v>130.29</v>
      </c>
      <c r="I472">
        <v>77.73</v>
      </c>
      <c r="J472">
        <v>10692681720</v>
      </c>
      <c r="K472">
        <v>500600000</v>
      </c>
      <c r="L472">
        <v>3.9652251999999999</v>
      </c>
      <c r="M472">
        <v>7.32</v>
      </c>
      <c r="N472" t="s">
        <v>1439</v>
      </c>
      <c r="O472">
        <v>10.7</v>
      </c>
      <c r="P472">
        <v>0.5</v>
      </c>
    </row>
    <row r="473" spans="1:16" x14ac:dyDescent="0.45">
      <c r="A473" t="s">
        <v>1440</v>
      </c>
      <c r="B473" t="s">
        <v>1441</v>
      </c>
      <c r="C473" t="s">
        <v>82</v>
      </c>
      <c r="D473">
        <v>50.92</v>
      </c>
      <c r="E473">
        <v>12.21</v>
      </c>
      <c r="F473">
        <v>5.9656409999999997</v>
      </c>
      <c r="G473">
        <v>1.86</v>
      </c>
      <c r="H473">
        <v>72.36</v>
      </c>
      <c r="I473">
        <v>51.8</v>
      </c>
      <c r="J473">
        <v>18865999082</v>
      </c>
      <c r="K473">
        <v>1935931000</v>
      </c>
      <c r="L473">
        <v>7.0740495000000001</v>
      </c>
      <c r="M473">
        <v>1.76</v>
      </c>
      <c r="N473" t="s">
        <v>1442</v>
      </c>
      <c r="O473">
        <v>18.899999999999999</v>
      </c>
      <c r="P473">
        <v>1.9</v>
      </c>
    </row>
    <row r="474" spans="1:16" x14ac:dyDescent="0.45">
      <c r="A474" t="s">
        <v>1443</v>
      </c>
      <c r="B474" t="s">
        <v>1444</v>
      </c>
      <c r="C474" t="s">
        <v>32</v>
      </c>
      <c r="D474">
        <v>105.62</v>
      </c>
      <c r="E474">
        <v>29.5</v>
      </c>
      <c r="F474">
        <v>0</v>
      </c>
      <c r="G474">
        <v>3.43</v>
      </c>
      <c r="H474">
        <v>118.28</v>
      </c>
      <c r="I474">
        <v>81.17</v>
      </c>
      <c r="J474">
        <v>10754983829</v>
      </c>
      <c r="K474">
        <v>767864000</v>
      </c>
      <c r="L474">
        <v>12.401828999999999</v>
      </c>
      <c r="M474">
        <v>10.82</v>
      </c>
      <c r="N474" t="s">
        <v>1445</v>
      </c>
      <c r="O474">
        <v>10.8</v>
      </c>
      <c r="P474">
        <v>0.8</v>
      </c>
    </row>
    <row r="475" spans="1:16" x14ac:dyDescent="0.45">
      <c r="A475" t="s">
        <v>1446</v>
      </c>
      <c r="B475" t="s">
        <v>1447</v>
      </c>
      <c r="C475" t="s">
        <v>18</v>
      </c>
      <c r="D475">
        <v>92.28</v>
      </c>
      <c r="E475">
        <v>28.84</v>
      </c>
      <c r="F475">
        <v>0</v>
      </c>
      <c r="G475">
        <v>3.45</v>
      </c>
      <c r="H475">
        <v>100.54</v>
      </c>
      <c r="I475">
        <v>75.599999999999994</v>
      </c>
      <c r="J475">
        <v>15594677147</v>
      </c>
      <c r="K475">
        <v>1011200000</v>
      </c>
      <c r="L475">
        <v>9.9354739999999993</v>
      </c>
      <c r="M475">
        <v>9.34</v>
      </c>
      <c r="N475" t="s">
        <v>1448</v>
      </c>
      <c r="O475">
        <v>15.6</v>
      </c>
      <c r="P475">
        <v>1</v>
      </c>
    </row>
    <row r="476" spans="1:16" x14ac:dyDescent="0.45">
      <c r="A476" t="s">
        <v>1449</v>
      </c>
      <c r="B476" t="s">
        <v>1450</v>
      </c>
      <c r="C476" t="s">
        <v>202</v>
      </c>
      <c r="D476">
        <v>49.04</v>
      </c>
      <c r="E476">
        <v>13.08</v>
      </c>
      <c r="F476">
        <v>4.626544</v>
      </c>
      <c r="G476">
        <v>7.36</v>
      </c>
      <c r="H476">
        <v>54.77</v>
      </c>
      <c r="I476">
        <v>42.8</v>
      </c>
      <c r="J476">
        <v>208092277044</v>
      </c>
      <c r="K476">
        <v>45745000000</v>
      </c>
      <c r="L476">
        <v>1.6452544</v>
      </c>
      <c r="M476">
        <v>7.96</v>
      </c>
      <c r="N476" t="s">
        <v>1451</v>
      </c>
      <c r="O476">
        <v>208.1</v>
      </c>
      <c r="P476">
        <v>45.7</v>
      </c>
    </row>
    <row r="477" spans="1:16" x14ac:dyDescent="0.45">
      <c r="A477" t="s">
        <v>1452</v>
      </c>
      <c r="B477" t="s">
        <v>1453</v>
      </c>
      <c r="C477" t="s">
        <v>25</v>
      </c>
      <c r="D477">
        <v>151.6</v>
      </c>
      <c r="E477">
        <v>252.67</v>
      </c>
      <c r="F477">
        <v>0</v>
      </c>
      <c r="G477">
        <v>1.04</v>
      </c>
      <c r="H477">
        <v>174.95500000000001</v>
      </c>
      <c r="I477">
        <v>84.39</v>
      </c>
      <c r="J477">
        <v>39369386348</v>
      </c>
      <c r="K477">
        <v>97562000</v>
      </c>
      <c r="L477">
        <v>16.185403999999998</v>
      </c>
      <c r="M477">
        <v>21.91</v>
      </c>
      <c r="N477" t="s">
        <v>1454</v>
      </c>
      <c r="O477">
        <v>39.4</v>
      </c>
      <c r="P477">
        <v>0.1</v>
      </c>
    </row>
    <row r="478" spans="1:16" x14ac:dyDescent="0.45">
      <c r="A478" t="s">
        <v>1455</v>
      </c>
      <c r="B478" t="s">
        <v>1456</v>
      </c>
      <c r="C478" t="s">
        <v>45</v>
      </c>
      <c r="D478">
        <v>32.71</v>
      </c>
      <c r="E478">
        <v>8.68</v>
      </c>
      <c r="F478">
        <v>2.6220910000000002</v>
      </c>
      <c r="G478">
        <v>4.68</v>
      </c>
      <c r="H478">
        <v>46.72</v>
      </c>
      <c r="I478">
        <v>22.13</v>
      </c>
      <c r="J478">
        <v>10601008017</v>
      </c>
      <c r="K478">
        <v>5600000000</v>
      </c>
      <c r="L478">
        <v>1.0924768</v>
      </c>
      <c r="M478">
        <v>2.08</v>
      </c>
      <c r="N478" t="s">
        <v>1457</v>
      </c>
      <c r="O478">
        <v>10.6</v>
      </c>
      <c r="P478">
        <v>5.6</v>
      </c>
    </row>
    <row r="479" spans="1:16" x14ac:dyDescent="0.45">
      <c r="A479" t="s">
        <v>1458</v>
      </c>
      <c r="B479" t="s">
        <v>1459</v>
      </c>
      <c r="C479" t="s">
        <v>32</v>
      </c>
      <c r="D479">
        <v>113.86</v>
      </c>
      <c r="E479">
        <v>32.72</v>
      </c>
      <c r="F479">
        <v>0.70204765000000002</v>
      </c>
      <c r="G479">
        <v>2.8</v>
      </c>
      <c r="H479">
        <v>126.88</v>
      </c>
      <c r="I479">
        <v>84.88</v>
      </c>
      <c r="J479">
        <v>270038723213</v>
      </c>
      <c r="K479">
        <v>13086000000</v>
      </c>
      <c r="L479">
        <v>14.433654000000001</v>
      </c>
      <c r="M479">
        <v>9.4</v>
      </c>
      <c r="N479" t="s">
        <v>1460</v>
      </c>
      <c r="O479">
        <v>270</v>
      </c>
      <c r="P479">
        <v>13.1</v>
      </c>
    </row>
    <row r="480" spans="1:16" x14ac:dyDescent="0.45">
      <c r="A480" t="s">
        <v>1461</v>
      </c>
      <c r="B480" t="s">
        <v>1462</v>
      </c>
      <c r="C480" t="s">
        <v>82</v>
      </c>
      <c r="D480">
        <v>66.180000000000007</v>
      </c>
      <c r="E480">
        <v>16.22</v>
      </c>
      <c r="F480">
        <v>3.7444280000000001</v>
      </c>
      <c r="G480">
        <v>4.33</v>
      </c>
      <c r="H480">
        <v>111.72</v>
      </c>
      <c r="I480">
        <v>66.010099999999994</v>
      </c>
      <c r="J480">
        <v>12778779911</v>
      </c>
      <c r="K480">
        <v>0</v>
      </c>
      <c r="L480">
        <v>7.1491002999999997</v>
      </c>
      <c r="M480">
        <v>3.63</v>
      </c>
      <c r="N480" t="s">
        <v>1463</v>
      </c>
      <c r="O480">
        <v>12.8</v>
      </c>
      <c r="P480">
        <v>0</v>
      </c>
    </row>
    <row r="481" spans="1:16" x14ac:dyDescent="0.45">
      <c r="A481" t="s">
        <v>1464</v>
      </c>
      <c r="B481" t="s">
        <v>1465</v>
      </c>
      <c r="C481" t="s">
        <v>69</v>
      </c>
      <c r="D481">
        <v>121.47</v>
      </c>
      <c r="E481">
        <v>40.9</v>
      </c>
      <c r="F481">
        <v>0.77978789999999998</v>
      </c>
      <c r="G481">
        <v>3.1</v>
      </c>
      <c r="H481">
        <v>141.19999999999999</v>
      </c>
      <c r="I481">
        <v>108.95</v>
      </c>
      <c r="J481">
        <v>16964162228</v>
      </c>
      <c r="K481">
        <v>970976000</v>
      </c>
      <c r="L481">
        <v>5.7576875999999997</v>
      </c>
      <c r="M481">
        <v>3.54</v>
      </c>
      <c r="N481" t="s">
        <v>1466</v>
      </c>
      <c r="O481">
        <v>17</v>
      </c>
      <c r="P481">
        <v>1</v>
      </c>
    </row>
    <row r="482" spans="1:16" x14ac:dyDescent="0.45">
      <c r="A482" t="s">
        <v>1467</v>
      </c>
      <c r="B482" t="s">
        <v>1468</v>
      </c>
      <c r="C482" t="s">
        <v>113</v>
      </c>
      <c r="D482">
        <v>100.02</v>
      </c>
      <c r="E482">
        <v>23.1</v>
      </c>
      <c r="F482">
        <v>1.983471</v>
      </c>
      <c r="G482">
        <v>4.3899999999999997</v>
      </c>
      <c r="H482">
        <v>109.98</v>
      </c>
      <c r="I482">
        <v>66.89</v>
      </c>
      <c r="J482">
        <v>304680931618</v>
      </c>
      <c r="K482">
        <v>30721000000</v>
      </c>
      <c r="L482">
        <v>0.82099425999999998</v>
      </c>
      <c r="M482">
        <v>3.89</v>
      </c>
      <c r="N482" t="s">
        <v>1469</v>
      </c>
      <c r="O482">
        <v>304.7</v>
      </c>
      <c r="P482">
        <v>30.7</v>
      </c>
    </row>
    <row r="483" spans="1:16" x14ac:dyDescent="0.45">
      <c r="A483" t="s">
        <v>1470</v>
      </c>
      <c r="B483" t="s">
        <v>1471</v>
      </c>
      <c r="C483" t="s">
        <v>113</v>
      </c>
      <c r="D483">
        <v>68.22</v>
      </c>
      <c r="E483">
        <v>13.38</v>
      </c>
      <c r="F483">
        <v>2.2368237999999998</v>
      </c>
      <c r="G483">
        <v>3.78</v>
      </c>
      <c r="H483">
        <v>88</v>
      </c>
      <c r="I483">
        <v>63.82</v>
      </c>
      <c r="J483">
        <v>70862541911</v>
      </c>
      <c r="K483">
        <v>7083000000</v>
      </c>
      <c r="L483">
        <v>0.59043880000000004</v>
      </c>
      <c r="M483">
        <v>3.06</v>
      </c>
      <c r="N483" t="s">
        <v>1472</v>
      </c>
      <c r="O483">
        <v>70.900000000000006</v>
      </c>
      <c r="P483">
        <v>7.1</v>
      </c>
    </row>
    <row r="484" spans="1:16" x14ac:dyDescent="0.45">
      <c r="A484" t="s">
        <v>1473</v>
      </c>
      <c r="B484" t="s">
        <v>1474</v>
      </c>
      <c r="C484" t="s">
        <v>18</v>
      </c>
      <c r="D484">
        <v>79.12</v>
      </c>
      <c r="E484">
        <v>25.36</v>
      </c>
      <c r="F484">
        <v>2.0800195000000001</v>
      </c>
      <c r="G484">
        <v>2.66</v>
      </c>
      <c r="H484">
        <v>89.73</v>
      </c>
      <c r="I484">
        <v>69.55</v>
      </c>
      <c r="J484">
        <v>35488486675</v>
      </c>
      <c r="K484">
        <v>3896000000</v>
      </c>
      <c r="L484">
        <v>3.2787668999999999</v>
      </c>
      <c r="M484">
        <v>6.73</v>
      </c>
      <c r="N484" t="s">
        <v>1475</v>
      </c>
      <c r="O484">
        <v>35.5</v>
      </c>
      <c r="P484">
        <v>3.9</v>
      </c>
    </row>
    <row r="485" spans="1:16" x14ac:dyDescent="0.45">
      <c r="A485" t="s">
        <v>1476</v>
      </c>
      <c r="B485" t="s">
        <v>1477</v>
      </c>
      <c r="C485" t="s">
        <v>25</v>
      </c>
      <c r="D485">
        <v>191.79</v>
      </c>
      <c r="E485">
        <v>26.64</v>
      </c>
      <c r="F485">
        <v>0</v>
      </c>
      <c r="G485">
        <v>0.19</v>
      </c>
      <c r="H485">
        <v>220.2</v>
      </c>
      <c r="I485">
        <v>145.94</v>
      </c>
      <c r="J485">
        <v>16064078572</v>
      </c>
      <c r="K485">
        <v>773932000</v>
      </c>
      <c r="L485">
        <v>6.9824114000000002</v>
      </c>
      <c r="M485">
        <v>6.15</v>
      </c>
      <c r="N485" t="s">
        <v>1478</v>
      </c>
      <c r="O485">
        <v>16.100000000000001</v>
      </c>
      <c r="P485">
        <v>0.8</v>
      </c>
    </row>
    <row r="486" spans="1:16" x14ac:dyDescent="0.45">
      <c r="A486" t="s">
        <v>1479</v>
      </c>
      <c r="B486" t="s">
        <v>1480</v>
      </c>
      <c r="C486" t="s">
        <v>52</v>
      </c>
      <c r="D486">
        <v>59.5</v>
      </c>
      <c r="E486">
        <v>19.57</v>
      </c>
      <c r="F486">
        <v>3.691948</v>
      </c>
      <c r="G486">
        <v>3.79</v>
      </c>
      <c r="H486">
        <v>70.09</v>
      </c>
      <c r="I486">
        <v>56.63</v>
      </c>
      <c r="J486">
        <v>18890296993</v>
      </c>
      <c r="K486">
        <v>2736500000</v>
      </c>
      <c r="L486">
        <v>2.4834196999999998</v>
      </c>
      <c r="M486">
        <v>2.1</v>
      </c>
      <c r="N486" t="s">
        <v>1481</v>
      </c>
      <c r="O486">
        <v>18.899999999999999</v>
      </c>
      <c r="P486">
        <v>2.7</v>
      </c>
    </row>
    <row r="487" spans="1:16" x14ac:dyDescent="0.45">
      <c r="A487" t="s">
        <v>1482</v>
      </c>
      <c r="B487" t="s">
        <v>1483</v>
      </c>
      <c r="C487" t="s">
        <v>59</v>
      </c>
      <c r="D487">
        <v>55.4</v>
      </c>
      <c r="E487">
        <v>13.58</v>
      </c>
      <c r="F487">
        <v>2.7111575999999999</v>
      </c>
      <c r="G487">
        <v>4.07</v>
      </c>
      <c r="H487">
        <v>66.31</v>
      </c>
      <c r="I487">
        <v>49.27</v>
      </c>
      <c r="J487">
        <v>281463620775</v>
      </c>
      <c r="K487">
        <v>0</v>
      </c>
      <c r="L487">
        <v>2.8728191999999999</v>
      </c>
      <c r="M487">
        <v>1.58</v>
      </c>
      <c r="N487" t="s">
        <v>1484</v>
      </c>
      <c r="O487">
        <v>281.5</v>
      </c>
      <c r="P487">
        <v>0</v>
      </c>
    </row>
    <row r="488" spans="1:16" x14ac:dyDescent="0.45">
      <c r="A488" t="s">
        <v>1485</v>
      </c>
      <c r="B488" t="s">
        <v>1486</v>
      </c>
      <c r="C488" t="s">
        <v>82</v>
      </c>
      <c r="D488">
        <v>54.67</v>
      </c>
      <c r="E488">
        <v>12.74</v>
      </c>
      <c r="F488">
        <v>6.1538462999999997</v>
      </c>
      <c r="G488">
        <v>2.81</v>
      </c>
      <c r="H488">
        <v>78.17</v>
      </c>
      <c r="I488">
        <v>55.29</v>
      </c>
      <c r="J488">
        <v>20943679019</v>
      </c>
      <c r="K488">
        <v>1908253000</v>
      </c>
      <c r="L488">
        <v>6.7252179999999999</v>
      </c>
      <c r="M488">
        <v>1.49</v>
      </c>
      <c r="N488" t="s">
        <v>1487</v>
      </c>
      <c r="O488">
        <v>20.9</v>
      </c>
      <c r="P488">
        <v>1.9</v>
      </c>
    </row>
    <row r="489" spans="1:16" x14ac:dyDescent="0.45">
      <c r="A489" t="s">
        <v>1488</v>
      </c>
      <c r="B489" t="s">
        <v>1489</v>
      </c>
      <c r="C489" t="s">
        <v>32</v>
      </c>
      <c r="D489">
        <v>80.09</v>
      </c>
      <c r="E489">
        <v>10.19</v>
      </c>
      <c r="F489">
        <v>2.3892009999999999</v>
      </c>
      <c r="G489">
        <v>1.29</v>
      </c>
      <c r="H489">
        <v>95.77</v>
      </c>
      <c r="I489">
        <v>71.38</v>
      </c>
      <c r="J489">
        <v>24760297793</v>
      </c>
      <c r="K489">
        <v>5169000000</v>
      </c>
      <c r="L489">
        <v>1.245503</v>
      </c>
      <c r="M489">
        <v>2</v>
      </c>
      <c r="N489" t="s">
        <v>1490</v>
      </c>
      <c r="O489">
        <v>24.8</v>
      </c>
      <c r="P489">
        <v>5.2</v>
      </c>
    </row>
    <row r="490" spans="1:16" x14ac:dyDescent="0.45">
      <c r="A490" t="s">
        <v>1491</v>
      </c>
      <c r="B490" t="s">
        <v>1492</v>
      </c>
      <c r="C490" t="s">
        <v>32</v>
      </c>
      <c r="D490">
        <v>18.809999999999999</v>
      </c>
      <c r="E490">
        <v>10.17</v>
      </c>
      <c r="F490">
        <v>3.5915854</v>
      </c>
      <c r="G490">
        <v>0.51</v>
      </c>
      <c r="H490">
        <v>22.21</v>
      </c>
      <c r="I490">
        <v>18.39</v>
      </c>
      <c r="J490">
        <v>8951609207</v>
      </c>
      <c r="K490">
        <v>694600000</v>
      </c>
      <c r="L490">
        <v>2.2267700000000001</v>
      </c>
      <c r="M490">
        <v>12.65</v>
      </c>
      <c r="N490" t="s">
        <v>1493</v>
      </c>
      <c r="O490">
        <v>9</v>
      </c>
      <c r="P490">
        <v>0.7</v>
      </c>
    </row>
    <row r="491" spans="1:16" x14ac:dyDescent="0.45">
      <c r="A491" t="s">
        <v>1494</v>
      </c>
      <c r="B491" t="s">
        <v>1495</v>
      </c>
      <c r="C491" t="s">
        <v>69</v>
      </c>
      <c r="D491">
        <v>60.93</v>
      </c>
      <c r="E491">
        <v>23.26</v>
      </c>
      <c r="F491">
        <v>2.6699784000000002</v>
      </c>
      <c r="G491">
        <v>2.77</v>
      </c>
      <c r="H491">
        <v>71.55</v>
      </c>
      <c r="I491">
        <v>49.23</v>
      </c>
      <c r="J491">
        <v>16433340688</v>
      </c>
      <c r="K491">
        <v>2262300000</v>
      </c>
      <c r="L491">
        <v>1.075785</v>
      </c>
      <c r="M491">
        <v>1.58</v>
      </c>
      <c r="N491" t="s">
        <v>1496</v>
      </c>
      <c r="O491">
        <v>16.399999999999999</v>
      </c>
      <c r="P491">
        <v>2.2999999999999998</v>
      </c>
    </row>
    <row r="492" spans="1:16" x14ac:dyDescent="0.45">
      <c r="A492" t="s">
        <v>1497</v>
      </c>
      <c r="B492" t="s">
        <v>1498</v>
      </c>
      <c r="C492" t="s">
        <v>82</v>
      </c>
      <c r="D492">
        <v>33.6</v>
      </c>
      <c r="E492">
        <v>34.29</v>
      </c>
      <c r="F492">
        <v>3.7079954000000002</v>
      </c>
      <c r="G492">
        <v>0.77</v>
      </c>
      <c r="H492">
        <v>37.89</v>
      </c>
      <c r="I492">
        <v>30.950399999999998</v>
      </c>
      <c r="J492">
        <v>26070297960</v>
      </c>
      <c r="K492">
        <v>1365000000</v>
      </c>
      <c r="L492">
        <v>3.6396793999999999</v>
      </c>
      <c r="M492">
        <v>2.9</v>
      </c>
      <c r="N492" t="s">
        <v>1499</v>
      </c>
      <c r="O492">
        <v>26.1</v>
      </c>
      <c r="P492">
        <v>1.4</v>
      </c>
    </row>
    <row r="493" spans="1:16" x14ac:dyDescent="0.45">
      <c r="A493" t="s">
        <v>1500</v>
      </c>
      <c r="B493" t="s">
        <v>1501</v>
      </c>
      <c r="C493" t="s">
        <v>45</v>
      </c>
      <c r="D493">
        <v>164.95</v>
      </c>
      <c r="E493">
        <v>11.77</v>
      </c>
      <c r="F493">
        <v>2.5652986000000002</v>
      </c>
      <c r="G493">
        <v>4.51</v>
      </c>
      <c r="H493">
        <v>202.99</v>
      </c>
      <c r="I493">
        <v>158.80000000000001</v>
      </c>
      <c r="J493">
        <v>12177920000</v>
      </c>
      <c r="K493">
        <v>1842000000</v>
      </c>
      <c r="L493">
        <v>0.58064795000000002</v>
      </c>
      <c r="M493">
        <v>2.57</v>
      </c>
      <c r="N493" t="s">
        <v>1502</v>
      </c>
      <c r="O493">
        <v>12.2</v>
      </c>
      <c r="P493">
        <v>1.8</v>
      </c>
    </row>
    <row r="494" spans="1:16" x14ac:dyDescent="0.45">
      <c r="A494" t="s">
        <v>1503</v>
      </c>
      <c r="B494" t="s">
        <v>1504</v>
      </c>
      <c r="C494" t="s">
        <v>156</v>
      </c>
      <c r="D494">
        <v>28.56</v>
      </c>
      <c r="E494">
        <v>48.41</v>
      </c>
      <c r="F494">
        <v>4</v>
      </c>
      <c r="G494">
        <v>-0.56999999999999995</v>
      </c>
      <c r="H494">
        <v>33.67</v>
      </c>
      <c r="I494">
        <v>26.8188</v>
      </c>
      <c r="J494">
        <v>24802396470</v>
      </c>
      <c r="K494">
        <v>3955000000</v>
      </c>
      <c r="L494">
        <v>4.2982845000000003</v>
      </c>
      <c r="M494">
        <v>3.01</v>
      </c>
      <c r="N494" t="s">
        <v>1505</v>
      </c>
      <c r="O494">
        <v>24.8</v>
      </c>
      <c r="P494">
        <v>4</v>
      </c>
    </row>
    <row r="495" spans="1:16" x14ac:dyDescent="0.45">
      <c r="A495" t="s">
        <v>1506</v>
      </c>
      <c r="B495" t="s">
        <v>1507</v>
      </c>
      <c r="C495" t="s">
        <v>59</v>
      </c>
      <c r="D495">
        <v>152.36000000000001</v>
      </c>
      <c r="E495">
        <v>18.670000000000002</v>
      </c>
      <c r="F495">
        <v>1.3470580000000001</v>
      </c>
      <c r="G495">
        <v>3.07</v>
      </c>
      <c r="H495">
        <v>165</v>
      </c>
      <c r="I495">
        <v>120.869</v>
      </c>
      <c r="J495">
        <v>20780269334</v>
      </c>
      <c r="K495">
        <v>1440000000</v>
      </c>
      <c r="L495">
        <v>3.4484663000000002</v>
      </c>
      <c r="M495">
        <v>2.1</v>
      </c>
      <c r="N495" t="s">
        <v>1508</v>
      </c>
      <c r="O495">
        <v>20.8</v>
      </c>
      <c r="P495">
        <v>1.4</v>
      </c>
    </row>
    <row r="496" spans="1:16" x14ac:dyDescent="0.45">
      <c r="A496" t="s">
        <v>1509</v>
      </c>
      <c r="B496" t="s">
        <v>1510</v>
      </c>
      <c r="C496" t="s">
        <v>45</v>
      </c>
      <c r="D496">
        <v>113.56</v>
      </c>
      <c r="E496">
        <v>18.77</v>
      </c>
      <c r="F496">
        <v>1.9541778999999999</v>
      </c>
      <c r="G496">
        <v>5.53</v>
      </c>
      <c r="H496">
        <v>127.96</v>
      </c>
      <c r="I496">
        <v>80.11</v>
      </c>
      <c r="J496">
        <v>11993835688</v>
      </c>
      <c r="K496">
        <v>1232000000</v>
      </c>
      <c r="L496">
        <v>2.7332082</v>
      </c>
      <c r="M496">
        <v>18.91</v>
      </c>
      <c r="N496" t="s">
        <v>1511</v>
      </c>
      <c r="O496">
        <v>12</v>
      </c>
      <c r="P496">
        <v>1.2</v>
      </c>
    </row>
    <row r="497" spans="1:16" x14ac:dyDescent="0.45">
      <c r="A497" t="s">
        <v>1512</v>
      </c>
      <c r="B497" t="s">
        <v>1513</v>
      </c>
      <c r="C497" t="s">
        <v>45</v>
      </c>
      <c r="D497">
        <v>169.28</v>
      </c>
      <c r="E497">
        <v>31.7</v>
      </c>
      <c r="F497">
        <v>1.1279043</v>
      </c>
      <c r="G497">
        <v>7.27</v>
      </c>
      <c r="H497">
        <v>203.63</v>
      </c>
      <c r="I497">
        <v>92.67</v>
      </c>
      <c r="J497">
        <v>18225400525</v>
      </c>
      <c r="K497">
        <v>1501301000</v>
      </c>
      <c r="L497">
        <v>2.4786579999999998</v>
      </c>
      <c r="M497">
        <v>51.69</v>
      </c>
      <c r="N497" t="s">
        <v>1514</v>
      </c>
      <c r="O497">
        <v>18.2</v>
      </c>
      <c r="P497">
        <v>1.5</v>
      </c>
    </row>
    <row r="498" spans="1:16" x14ac:dyDescent="0.45">
      <c r="A498" t="s">
        <v>1515</v>
      </c>
      <c r="B498" t="s">
        <v>1516</v>
      </c>
      <c r="C498" t="s">
        <v>52</v>
      </c>
      <c r="D498">
        <v>42.44</v>
      </c>
      <c r="E498">
        <v>18.14</v>
      </c>
      <c r="F498">
        <v>3.3914273000000001</v>
      </c>
      <c r="G498">
        <v>2.21</v>
      </c>
      <c r="H498">
        <v>52.22</v>
      </c>
      <c r="I498">
        <v>41.16</v>
      </c>
      <c r="J498">
        <v>21559611927</v>
      </c>
      <c r="K498">
        <v>3885828000</v>
      </c>
      <c r="L498">
        <v>2.5204559999999998</v>
      </c>
      <c r="M498">
        <v>1.94</v>
      </c>
      <c r="N498" t="s">
        <v>1517</v>
      </c>
      <c r="O498">
        <v>21.6</v>
      </c>
      <c r="P498">
        <v>3.9</v>
      </c>
    </row>
    <row r="499" spans="1:16" x14ac:dyDescent="0.45">
      <c r="A499" t="s">
        <v>1518</v>
      </c>
      <c r="B499" t="s">
        <v>1519</v>
      </c>
      <c r="C499" t="s">
        <v>32</v>
      </c>
      <c r="D499">
        <v>29.8</v>
      </c>
      <c r="E499">
        <v>8.8699999999999992</v>
      </c>
      <c r="F499">
        <v>3.2071839999999998</v>
      </c>
      <c r="G499">
        <v>0.59</v>
      </c>
      <c r="H499">
        <v>37.42</v>
      </c>
      <c r="I499">
        <v>26.64</v>
      </c>
      <c r="J499">
        <v>7938833340</v>
      </c>
      <c r="K499">
        <v>1191000000</v>
      </c>
      <c r="L499">
        <v>0.78776559999999995</v>
      </c>
      <c r="M499">
        <v>1.49</v>
      </c>
      <c r="N499" t="s">
        <v>1520</v>
      </c>
      <c r="O499">
        <v>7.9</v>
      </c>
      <c r="P499">
        <v>1.2</v>
      </c>
    </row>
    <row r="500" spans="1:16" x14ac:dyDescent="0.45">
      <c r="A500" t="s">
        <v>1521</v>
      </c>
      <c r="B500" t="s">
        <v>1522</v>
      </c>
      <c r="C500" t="s">
        <v>32</v>
      </c>
      <c r="D500">
        <v>62.82</v>
      </c>
      <c r="E500">
        <v>27.19</v>
      </c>
      <c r="F500">
        <v>2.0904881999999998</v>
      </c>
      <c r="G500">
        <v>2.3199999999999998</v>
      </c>
      <c r="H500">
        <v>77.260000000000005</v>
      </c>
      <c r="I500">
        <v>54.99</v>
      </c>
      <c r="J500">
        <v>17064975551</v>
      </c>
      <c r="K500">
        <v>845468000</v>
      </c>
      <c r="L500">
        <v>7.1012060000000004</v>
      </c>
      <c r="M500">
        <v>7.22</v>
      </c>
      <c r="N500" t="s">
        <v>1523</v>
      </c>
      <c r="O500">
        <v>17.100000000000001</v>
      </c>
      <c r="P500">
        <v>0.8</v>
      </c>
    </row>
    <row r="501" spans="1:16" x14ac:dyDescent="0.45">
      <c r="A501" t="s">
        <v>1524</v>
      </c>
      <c r="B501" t="s">
        <v>1525</v>
      </c>
      <c r="C501" t="s">
        <v>59</v>
      </c>
      <c r="D501">
        <v>41.26</v>
      </c>
      <c r="E501">
        <v>-19.93</v>
      </c>
      <c r="F501">
        <v>2.0952381999999998</v>
      </c>
      <c r="G501">
        <v>-2.2400000000000002</v>
      </c>
      <c r="H501">
        <v>47.27</v>
      </c>
      <c r="I501">
        <v>33.770000000000003</v>
      </c>
      <c r="J501">
        <v>10753423590</v>
      </c>
      <c r="K501">
        <v>0</v>
      </c>
      <c r="L501">
        <v>0.84394186999999998</v>
      </c>
      <c r="M501">
        <v>0.97</v>
      </c>
      <c r="N501" t="s">
        <v>1526</v>
      </c>
      <c r="O501">
        <v>10.8</v>
      </c>
      <c r="P501">
        <v>0</v>
      </c>
    </row>
    <row r="502" spans="1:16" x14ac:dyDescent="0.45">
      <c r="A502" t="s">
        <v>1527</v>
      </c>
      <c r="B502" t="s">
        <v>1528</v>
      </c>
      <c r="C502" t="s">
        <v>18</v>
      </c>
      <c r="D502">
        <v>70.239999999999995</v>
      </c>
      <c r="E502">
        <v>30.94</v>
      </c>
      <c r="F502">
        <v>1.1700794000000001</v>
      </c>
      <c r="G502">
        <v>1.83</v>
      </c>
      <c r="H502">
        <v>76.81</v>
      </c>
      <c r="I502">
        <v>46.86</v>
      </c>
      <c r="J502">
        <v>12915021000</v>
      </c>
      <c r="K502">
        <v>722000000</v>
      </c>
      <c r="L502">
        <v>2.7262094000000001</v>
      </c>
      <c r="M502">
        <v>5.31</v>
      </c>
      <c r="N502" t="s">
        <v>1529</v>
      </c>
      <c r="O502">
        <v>12.9</v>
      </c>
      <c r="P502">
        <v>0.7</v>
      </c>
    </row>
    <row r="503" spans="1:16" x14ac:dyDescent="0.45">
      <c r="A503" t="s">
        <v>1530</v>
      </c>
      <c r="B503" t="s">
        <v>1531</v>
      </c>
      <c r="C503" t="s">
        <v>45</v>
      </c>
      <c r="D503">
        <v>76.3</v>
      </c>
      <c r="E503">
        <v>27.25</v>
      </c>
      <c r="F503">
        <v>1.7970797999999999</v>
      </c>
      <c r="G503">
        <v>4.07</v>
      </c>
      <c r="H503">
        <v>86.93</v>
      </c>
      <c r="I503">
        <v>62.85</v>
      </c>
      <c r="J503">
        <v>27003303098</v>
      </c>
      <c r="K503">
        <v>2289000000</v>
      </c>
      <c r="L503">
        <v>6.3136362999999998</v>
      </c>
      <c r="M503">
        <v>212.08</v>
      </c>
      <c r="N503" t="s">
        <v>1532</v>
      </c>
      <c r="O503">
        <v>27</v>
      </c>
      <c r="P503">
        <v>2.2999999999999998</v>
      </c>
    </row>
    <row r="504" spans="1:16" x14ac:dyDescent="0.45">
      <c r="A504" t="s">
        <v>1533</v>
      </c>
      <c r="B504" t="s">
        <v>1534</v>
      </c>
      <c r="C504" t="s">
        <v>25</v>
      </c>
      <c r="D504">
        <v>115.53</v>
      </c>
      <c r="E504">
        <v>14.32</v>
      </c>
      <c r="F504">
        <v>0.79483360000000003</v>
      </c>
      <c r="G504">
        <v>9.01</v>
      </c>
      <c r="H504">
        <v>133.49</v>
      </c>
      <c r="I504">
        <v>108.17</v>
      </c>
      <c r="J504">
        <v>24454698119</v>
      </c>
      <c r="K504">
        <v>2007400000</v>
      </c>
      <c r="L504">
        <v>3.1648953</v>
      </c>
      <c r="M504">
        <v>2.39</v>
      </c>
      <c r="N504" t="s">
        <v>1535</v>
      </c>
      <c r="O504">
        <v>24.5</v>
      </c>
      <c r="P504">
        <v>2</v>
      </c>
    </row>
    <row r="505" spans="1:16" x14ac:dyDescent="0.45">
      <c r="A505" t="s">
        <v>1536</v>
      </c>
      <c r="B505" t="s">
        <v>1537</v>
      </c>
      <c r="C505" t="s">
        <v>59</v>
      </c>
      <c r="D505">
        <v>50.71</v>
      </c>
      <c r="E505">
        <v>17.73</v>
      </c>
      <c r="F505">
        <v>1.4809330000000001</v>
      </c>
      <c r="G505">
        <v>2.6</v>
      </c>
      <c r="H505">
        <v>55.61</v>
      </c>
      <c r="I505">
        <v>38.43</v>
      </c>
      <c r="J505">
        <v>10670678640</v>
      </c>
      <c r="K505">
        <v>0</v>
      </c>
      <c r="L505">
        <v>3.7945793000000001</v>
      </c>
      <c r="M505">
        <v>1.42</v>
      </c>
      <c r="N505" t="s">
        <v>1538</v>
      </c>
      <c r="O505">
        <v>10.7</v>
      </c>
      <c r="P505">
        <v>0</v>
      </c>
    </row>
    <row r="506" spans="1:16" x14ac:dyDescent="0.45">
      <c r="A506" t="s">
        <v>1539</v>
      </c>
      <c r="B506" t="s">
        <v>1540</v>
      </c>
      <c r="C506" t="s">
        <v>25</v>
      </c>
      <c r="D506">
        <v>71.510000000000005</v>
      </c>
      <c r="E506">
        <v>32.799999999999997</v>
      </c>
      <c r="F506">
        <v>0.68237203000000002</v>
      </c>
      <c r="G506">
        <v>1.65</v>
      </c>
      <c r="H506">
        <v>80.13</v>
      </c>
      <c r="I506">
        <v>52</v>
      </c>
      <c r="J506">
        <v>35991109776</v>
      </c>
      <c r="K506">
        <v>1734000000</v>
      </c>
      <c r="L506">
        <v>9.2808960000000003</v>
      </c>
      <c r="M506">
        <v>18.09</v>
      </c>
      <c r="N506" t="s">
        <v>1541</v>
      </c>
      <c r="O506">
        <v>36</v>
      </c>
      <c r="P506">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FBF96-BAC3-4D7A-A094-ED6E666F1A35}">
  <dimension ref="A3:H15"/>
  <sheetViews>
    <sheetView topLeftCell="A10" zoomScale="70" zoomScaleNormal="70" workbookViewId="0">
      <selection activeCell="J21" sqref="J21"/>
    </sheetView>
  </sheetViews>
  <sheetFormatPr defaultRowHeight="14.25" x14ac:dyDescent="0.45"/>
  <cols>
    <col min="1" max="1" width="23.1328125" bestFit="1" customWidth="1"/>
    <col min="2" max="2" width="20.19921875" bestFit="1" customWidth="1"/>
    <col min="4" max="4" width="12.06640625" bestFit="1" customWidth="1"/>
    <col min="5" max="5" width="21.796875" bestFit="1" customWidth="1"/>
    <col min="6" max="6" width="23.1328125" bestFit="1" customWidth="1"/>
    <col min="7" max="7" width="21.796875" bestFit="1" customWidth="1"/>
    <col min="8" max="8" width="21.9296875" bestFit="1" customWidth="1"/>
    <col min="9" max="15" width="5.73046875" bestFit="1" customWidth="1"/>
    <col min="16" max="16" width="4.73046875" bestFit="1" customWidth="1"/>
    <col min="17" max="19" width="5.73046875" bestFit="1" customWidth="1"/>
    <col min="20" max="20" width="2.73046875" bestFit="1" customWidth="1"/>
    <col min="21" max="22" width="4.73046875" bestFit="1" customWidth="1"/>
    <col min="23" max="23" width="5.73046875" bestFit="1" customWidth="1"/>
    <col min="24" max="24" width="4.73046875" bestFit="1" customWidth="1"/>
    <col min="25" max="39" width="5.73046875" bestFit="1" customWidth="1"/>
    <col min="40" max="40" width="2.73046875" bestFit="1" customWidth="1"/>
    <col min="41" max="45" width="5.73046875" bestFit="1" customWidth="1"/>
    <col min="46" max="46" width="4.73046875" bestFit="1" customWidth="1"/>
    <col min="47" max="50" width="5.73046875" bestFit="1" customWidth="1"/>
    <col min="51" max="51" width="4.73046875" bestFit="1" customWidth="1"/>
    <col min="52" max="56" width="5.73046875" bestFit="1" customWidth="1"/>
    <col min="57" max="57" width="4.73046875" bestFit="1" customWidth="1"/>
    <col min="58" max="59" width="5.73046875" bestFit="1" customWidth="1"/>
    <col min="60" max="60" width="4.73046875" bestFit="1" customWidth="1"/>
    <col min="61" max="63" width="5.73046875" bestFit="1" customWidth="1"/>
    <col min="64" max="64" width="4.73046875" bestFit="1" customWidth="1"/>
    <col min="65" max="73" width="5.73046875" bestFit="1" customWidth="1"/>
    <col min="74" max="74" width="4.73046875" bestFit="1" customWidth="1"/>
    <col min="75" max="75" width="5.73046875" bestFit="1" customWidth="1"/>
    <col min="76" max="76" width="4.73046875" bestFit="1" customWidth="1"/>
    <col min="77" max="77" width="5.73046875" bestFit="1" customWidth="1"/>
    <col min="78" max="78" width="4.73046875" bestFit="1" customWidth="1"/>
    <col min="79" max="85" width="5.73046875" bestFit="1" customWidth="1"/>
    <col min="86" max="86" width="4.73046875" bestFit="1" customWidth="1"/>
    <col min="87" max="93" width="5.73046875" bestFit="1" customWidth="1"/>
    <col min="94" max="94" width="2.73046875" bestFit="1" customWidth="1"/>
    <col min="95" max="99" width="5.73046875" bestFit="1" customWidth="1"/>
    <col min="100" max="100" width="4.73046875" bestFit="1" customWidth="1"/>
    <col min="101" max="102" width="5.73046875" bestFit="1" customWidth="1"/>
    <col min="103" max="103" width="2.73046875" bestFit="1" customWidth="1"/>
    <col min="104" max="104" width="5.73046875" bestFit="1" customWidth="1"/>
    <col min="105" max="105" width="4.73046875" bestFit="1" customWidth="1"/>
    <col min="106" max="117" width="5.73046875" bestFit="1" customWidth="1"/>
    <col min="118" max="118" width="2.73046875" bestFit="1" customWidth="1"/>
    <col min="119" max="120" width="4.73046875" bestFit="1" customWidth="1"/>
    <col min="121" max="142" width="5.73046875" bestFit="1" customWidth="1"/>
    <col min="143" max="143" width="4.73046875" bestFit="1" customWidth="1"/>
    <col min="144" max="144" width="5.73046875" bestFit="1" customWidth="1"/>
    <col min="145" max="145" width="4.73046875" bestFit="1" customWidth="1"/>
    <col min="146" max="153" width="5.73046875" bestFit="1" customWidth="1"/>
    <col min="154" max="154" width="4.73046875" bestFit="1" customWidth="1"/>
    <col min="155" max="164" width="5.73046875" bestFit="1" customWidth="1"/>
    <col min="165" max="165" width="4.73046875" bestFit="1" customWidth="1"/>
    <col min="166" max="169" width="5.73046875" bestFit="1" customWidth="1"/>
    <col min="170" max="170" width="4.73046875" bestFit="1" customWidth="1"/>
    <col min="171" max="178" width="5.73046875" bestFit="1" customWidth="1"/>
    <col min="179" max="179" width="4.73046875" bestFit="1" customWidth="1"/>
    <col min="180" max="181" width="5.73046875" bestFit="1" customWidth="1"/>
    <col min="182" max="182" width="2.73046875" bestFit="1" customWidth="1"/>
    <col min="183" max="187" width="5.73046875" bestFit="1" customWidth="1"/>
    <col min="188" max="188" width="4.73046875" bestFit="1" customWidth="1"/>
    <col min="189" max="212" width="5.73046875" bestFit="1" customWidth="1"/>
    <col min="213" max="213" width="4.73046875" bestFit="1" customWidth="1"/>
    <col min="214" max="215" width="5.73046875" bestFit="1" customWidth="1"/>
    <col min="216" max="216" width="4.73046875" bestFit="1" customWidth="1"/>
    <col min="217" max="220" width="5.73046875" bestFit="1" customWidth="1"/>
    <col min="221" max="221" width="4.73046875" bestFit="1" customWidth="1"/>
    <col min="222" max="225" width="5.73046875" bestFit="1" customWidth="1"/>
    <col min="226" max="226" width="2.73046875" bestFit="1" customWidth="1"/>
    <col min="227" max="227" width="4.73046875" bestFit="1" customWidth="1"/>
    <col min="228" max="246" width="5.73046875" bestFit="1" customWidth="1"/>
    <col min="247" max="247" width="4.73046875" bestFit="1" customWidth="1"/>
    <col min="248" max="263" width="5.73046875" bestFit="1" customWidth="1"/>
    <col min="264" max="264" width="4.73046875" bestFit="1" customWidth="1"/>
    <col min="265" max="274" width="5.73046875" bestFit="1" customWidth="1"/>
    <col min="275" max="275" width="4.73046875" bestFit="1" customWidth="1"/>
    <col min="276" max="292" width="5.73046875" bestFit="1" customWidth="1"/>
    <col min="293" max="293" width="4.73046875" bestFit="1" customWidth="1"/>
    <col min="294" max="303" width="5.73046875" bestFit="1" customWidth="1"/>
    <col min="304" max="304" width="4.73046875" bestFit="1" customWidth="1"/>
    <col min="305" max="312" width="5.73046875" bestFit="1" customWidth="1"/>
    <col min="313" max="313" width="4.73046875" bestFit="1" customWidth="1"/>
    <col min="314" max="316" width="5.73046875" bestFit="1" customWidth="1"/>
    <col min="317" max="317" width="4.73046875" bestFit="1" customWidth="1"/>
    <col min="318" max="320" width="5.73046875" bestFit="1" customWidth="1"/>
    <col min="321" max="321" width="4.73046875" bestFit="1" customWidth="1"/>
    <col min="322" max="329" width="5.73046875" bestFit="1" customWidth="1"/>
    <col min="330" max="357" width="6.73046875" bestFit="1" customWidth="1"/>
    <col min="358" max="358" width="5.73046875" bestFit="1" customWidth="1"/>
    <col min="359" max="363" width="6.73046875" bestFit="1" customWidth="1"/>
    <col min="364" max="364" width="5.73046875" bestFit="1" customWidth="1"/>
    <col min="365" max="367" width="6.73046875" bestFit="1" customWidth="1"/>
    <col min="368" max="368" width="3.73046875" bestFit="1" customWidth="1"/>
    <col min="369" max="395" width="6.73046875" bestFit="1" customWidth="1"/>
    <col min="396" max="396" width="3.73046875" bestFit="1" customWidth="1"/>
    <col min="397" max="412" width="6.73046875" bestFit="1" customWidth="1"/>
    <col min="413" max="413" width="5.73046875" bestFit="1" customWidth="1"/>
    <col min="414" max="416" width="6.73046875" bestFit="1" customWidth="1"/>
    <col min="417" max="417" width="5.73046875" bestFit="1" customWidth="1"/>
    <col min="418" max="418" width="6.73046875" bestFit="1" customWidth="1"/>
    <col min="419" max="419" width="5.73046875" bestFit="1" customWidth="1"/>
    <col min="420" max="431" width="6.73046875" bestFit="1" customWidth="1"/>
    <col min="432" max="432" width="5.73046875" bestFit="1" customWidth="1"/>
    <col min="433" max="441" width="6.73046875" bestFit="1" customWidth="1"/>
    <col min="442" max="442" width="3.73046875" bestFit="1" customWidth="1"/>
    <col min="443" max="471" width="6.73046875" bestFit="1" customWidth="1"/>
    <col min="472" max="472" width="5.73046875" bestFit="1" customWidth="1"/>
    <col min="473" max="474" width="6.73046875" bestFit="1" customWidth="1"/>
    <col min="475" max="475" width="5.73046875" bestFit="1" customWidth="1"/>
    <col min="476" max="477" width="6.73046875" bestFit="1" customWidth="1"/>
    <col min="478" max="479" width="5.73046875" bestFit="1" customWidth="1"/>
    <col min="480" max="481" width="6.73046875" bestFit="1" customWidth="1"/>
    <col min="482" max="482" width="3.73046875" bestFit="1" customWidth="1"/>
    <col min="483" max="486" width="6.73046875" bestFit="1" customWidth="1"/>
    <col min="487" max="487" width="5.73046875" bestFit="1" customWidth="1"/>
    <col min="488" max="492" width="6.73046875" bestFit="1" customWidth="1"/>
    <col min="493" max="493" width="3.73046875" bestFit="1" customWidth="1"/>
    <col min="494" max="494" width="6.73046875" bestFit="1" customWidth="1"/>
    <col min="495" max="496" width="7.73046875" bestFit="1" customWidth="1"/>
    <col min="497" max="497" width="6.73046875" bestFit="1" customWidth="1"/>
    <col min="498" max="498" width="7.73046875" bestFit="1" customWidth="1"/>
    <col min="499" max="499" width="10.19921875" bestFit="1" customWidth="1"/>
  </cols>
  <sheetData>
    <row r="3" spans="1:8" x14ac:dyDescent="0.45">
      <c r="A3" s="1" t="s">
        <v>2</v>
      </c>
      <c r="B3" t="s">
        <v>1543</v>
      </c>
      <c r="F3" s="1" t="s">
        <v>2</v>
      </c>
      <c r="G3" t="s">
        <v>1544</v>
      </c>
      <c r="H3" t="s">
        <v>1545</v>
      </c>
    </row>
    <row r="4" spans="1:8" x14ac:dyDescent="0.45">
      <c r="A4" s="2" t="s">
        <v>32</v>
      </c>
      <c r="B4">
        <v>6727.2000000000025</v>
      </c>
      <c r="F4" s="2" t="s">
        <v>45</v>
      </c>
      <c r="G4" s="3">
        <v>25.536024096385535</v>
      </c>
      <c r="H4" s="3">
        <v>1.5724123550595246</v>
      </c>
    </row>
    <row r="5" spans="1:8" x14ac:dyDescent="0.45">
      <c r="A5" s="2" t="s">
        <v>59</v>
      </c>
      <c r="B5">
        <v>3442.8000000000006</v>
      </c>
      <c r="F5" s="2" t="s">
        <v>113</v>
      </c>
      <c r="G5" s="3">
        <v>21.963235294117652</v>
      </c>
      <c r="H5" s="3">
        <v>2.4333909676470591</v>
      </c>
    </row>
    <row r="6" spans="1:8" x14ac:dyDescent="0.45">
      <c r="A6" s="2" t="s">
        <v>25</v>
      </c>
      <c r="B6">
        <v>3244.4</v>
      </c>
      <c r="F6" s="2" t="s">
        <v>156</v>
      </c>
      <c r="G6" s="3">
        <v>38.559062500000003</v>
      </c>
      <c r="H6" s="3">
        <v>2.0144521346874997</v>
      </c>
    </row>
    <row r="7" spans="1:8" x14ac:dyDescent="0.45">
      <c r="A7" s="2" t="s">
        <v>45</v>
      </c>
      <c r="B7">
        <v>3213.3000000000011</v>
      </c>
      <c r="F7" s="2" t="s">
        <v>59</v>
      </c>
      <c r="G7" s="3">
        <v>17.198970588235291</v>
      </c>
      <c r="H7" s="3">
        <v>2.0172406950000004</v>
      </c>
    </row>
    <row r="8" spans="1:8" x14ac:dyDescent="0.45">
      <c r="A8" s="2" t="s">
        <v>18</v>
      </c>
      <c r="B8">
        <v>2411.1</v>
      </c>
      <c r="F8" s="2" t="s">
        <v>25</v>
      </c>
      <c r="G8" s="3">
        <v>23.437833333333334</v>
      </c>
      <c r="H8" s="3">
        <v>0.91724331140983606</v>
      </c>
    </row>
    <row r="9" spans="1:8" x14ac:dyDescent="0.45">
      <c r="A9" s="2" t="s">
        <v>113</v>
      </c>
      <c r="B9">
        <v>2087.0000000000005</v>
      </c>
      <c r="F9" s="2" t="s">
        <v>18</v>
      </c>
      <c r="G9" s="3">
        <v>21.494328358208953</v>
      </c>
      <c r="H9" s="3">
        <v>1.4793919437313434</v>
      </c>
    </row>
    <row r="10" spans="1:8" x14ac:dyDescent="0.45">
      <c r="A10" s="2" t="s">
        <v>156</v>
      </c>
      <c r="B10">
        <v>1357.3</v>
      </c>
      <c r="F10" s="2" t="s">
        <v>32</v>
      </c>
      <c r="G10" s="3">
        <v>37.179857142857138</v>
      </c>
      <c r="H10" s="3">
        <v>1.2284936224714285</v>
      </c>
    </row>
    <row r="11" spans="1:8" x14ac:dyDescent="0.45">
      <c r="A11" s="2" t="s">
        <v>69</v>
      </c>
      <c r="B11">
        <v>692.40000000000009</v>
      </c>
      <c r="F11" s="2" t="s">
        <v>69</v>
      </c>
      <c r="G11" s="3">
        <v>20.542399999999997</v>
      </c>
      <c r="H11" s="3">
        <v>1.7379759480000001</v>
      </c>
    </row>
    <row r="12" spans="1:8" x14ac:dyDescent="0.45">
      <c r="A12" s="2" t="s">
        <v>82</v>
      </c>
      <c r="B12">
        <v>625.49999999999989</v>
      </c>
      <c r="F12" s="2" t="s">
        <v>82</v>
      </c>
      <c r="G12" s="3">
        <v>22.459090909090907</v>
      </c>
      <c r="H12" s="3">
        <v>3.8947580909090909</v>
      </c>
    </row>
    <row r="13" spans="1:8" x14ac:dyDescent="0.45">
      <c r="A13" s="2" t="s">
        <v>52</v>
      </c>
      <c r="B13">
        <v>611.5</v>
      </c>
      <c r="F13" s="2" t="s">
        <v>202</v>
      </c>
      <c r="G13" s="3">
        <v>11.19</v>
      </c>
      <c r="H13" s="3">
        <v>7.5677970999999999</v>
      </c>
    </row>
    <row r="14" spans="1:8" x14ac:dyDescent="0.45">
      <c r="A14" s="2" t="s">
        <v>202</v>
      </c>
      <c r="B14">
        <v>453</v>
      </c>
      <c r="F14" s="2" t="s">
        <v>52</v>
      </c>
      <c r="G14" s="3">
        <v>16.846428571428572</v>
      </c>
      <c r="H14" s="3">
        <v>3.7592243428571424</v>
      </c>
    </row>
    <row r="15" spans="1:8" x14ac:dyDescent="0.45">
      <c r="A15" s="2" t="s">
        <v>1542</v>
      </c>
      <c r="B15">
        <v>24865.500000000007</v>
      </c>
      <c r="F15" s="2" t="s">
        <v>1542</v>
      </c>
      <c r="G15" s="3">
        <v>24.808389662027842</v>
      </c>
      <c r="H15" s="3">
        <v>1.8959534865227707</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88F01-87AF-4BB6-941B-A30B733A52FF}">
  <dimension ref="A3:C15"/>
  <sheetViews>
    <sheetView zoomScale="85" zoomScaleNormal="85" workbookViewId="0">
      <selection activeCell="E18" sqref="E18"/>
    </sheetView>
  </sheetViews>
  <sheetFormatPr defaultRowHeight="14.25" x14ac:dyDescent="0.45"/>
  <cols>
    <col min="1" max="1" width="23.1328125" bestFit="1" customWidth="1"/>
    <col min="2" max="2" width="25" customWidth="1"/>
    <col min="3" max="3" width="27.265625" customWidth="1"/>
  </cols>
  <sheetData>
    <row r="3" spans="1:3" ht="28.5" x14ac:dyDescent="0.45">
      <c r="A3" s="1" t="s">
        <v>2</v>
      </c>
      <c r="B3" t="s">
        <v>1546</v>
      </c>
      <c r="C3" s="4" t="s">
        <v>1547</v>
      </c>
    </row>
    <row r="4" spans="1:3" x14ac:dyDescent="0.45">
      <c r="A4" s="2" t="s">
        <v>45</v>
      </c>
      <c r="B4" s="3">
        <v>38.253571428571441</v>
      </c>
      <c r="C4">
        <v>84</v>
      </c>
    </row>
    <row r="5" spans="1:3" x14ac:dyDescent="0.45">
      <c r="A5" s="2" t="s">
        <v>113</v>
      </c>
      <c r="B5" s="3">
        <v>61.382352941176485</v>
      </c>
      <c r="C5">
        <v>34</v>
      </c>
    </row>
    <row r="6" spans="1:3" x14ac:dyDescent="0.45">
      <c r="A6" s="2" t="s">
        <v>156</v>
      </c>
      <c r="B6" s="3">
        <v>42.415624999999999</v>
      </c>
      <c r="C6">
        <v>32</v>
      </c>
    </row>
    <row r="7" spans="1:3" x14ac:dyDescent="0.45">
      <c r="A7" s="2" t="s">
        <v>59</v>
      </c>
      <c r="B7" s="3">
        <v>50.629411764705893</v>
      </c>
      <c r="C7">
        <v>68</v>
      </c>
    </row>
    <row r="8" spans="1:3" x14ac:dyDescent="0.45">
      <c r="A8" s="2" t="s">
        <v>25</v>
      </c>
      <c r="B8" s="3">
        <v>53.186885245901642</v>
      </c>
      <c r="C8">
        <v>61</v>
      </c>
    </row>
    <row r="9" spans="1:3" x14ac:dyDescent="0.45">
      <c r="A9" s="2" t="s">
        <v>18</v>
      </c>
      <c r="B9" s="3">
        <v>35.9865671641791</v>
      </c>
      <c r="C9">
        <v>67</v>
      </c>
    </row>
    <row r="10" spans="1:3" x14ac:dyDescent="0.45">
      <c r="A10" s="2" t="s">
        <v>32</v>
      </c>
      <c r="B10" s="3">
        <v>96.102857142857175</v>
      </c>
      <c r="C10">
        <v>70</v>
      </c>
    </row>
    <row r="11" spans="1:3" x14ac:dyDescent="0.45">
      <c r="A11" s="2" t="s">
        <v>69</v>
      </c>
      <c r="B11" s="3">
        <v>27.696000000000005</v>
      </c>
      <c r="C11">
        <v>25</v>
      </c>
    </row>
    <row r="12" spans="1:3" x14ac:dyDescent="0.45">
      <c r="A12" s="2" t="s">
        <v>82</v>
      </c>
      <c r="B12" s="3">
        <v>18.95454545454545</v>
      </c>
      <c r="C12">
        <v>33</v>
      </c>
    </row>
    <row r="13" spans="1:3" x14ac:dyDescent="0.45">
      <c r="A13" s="2" t="s">
        <v>202</v>
      </c>
      <c r="B13" s="3">
        <v>151</v>
      </c>
      <c r="C13">
        <v>3</v>
      </c>
    </row>
    <row r="14" spans="1:3" x14ac:dyDescent="0.45">
      <c r="A14" s="2" t="s">
        <v>52</v>
      </c>
      <c r="B14" s="3">
        <v>21.839285714285715</v>
      </c>
      <c r="C14">
        <v>28</v>
      </c>
    </row>
    <row r="15" spans="1:3" x14ac:dyDescent="0.45">
      <c r="A15" s="2" t="s">
        <v>1542</v>
      </c>
      <c r="B15" s="3">
        <v>49.23861386138617</v>
      </c>
      <c r="C15">
        <v>505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6D765-0AFE-45C2-8299-F0E131B9AB4F}">
  <dimension ref="A1:C12"/>
  <sheetViews>
    <sheetView zoomScale="85" zoomScaleNormal="85" workbookViewId="0">
      <selection sqref="A1:C12"/>
    </sheetView>
  </sheetViews>
  <sheetFormatPr defaultRowHeight="14.25" x14ac:dyDescent="0.45"/>
  <cols>
    <col min="1" max="1" width="23.73046875" bestFit="1" customWidth="1"/>
    <col min="2" max="2" width="16.796875" bestFit="1" customWidth="1"/>
    <col min="3" max="3" width="14.46484375" bestFit="1" customWidth="1"/>
  </cols>
  <sheetData>
    <row r="1" spans="1:3" x14ac:dyDescent="0.45">
      <c r="A1" t="s">
        <v>2</v>
      </c>
      <c r="B1" t="s">
        <v>14</v>
      </c>
      <c r="C1" t="s">
        <v>1583</v>
      </c>
    </row>
    <row r="2" spans="1:3" x14ac:dyDescent="0.45">
      <c r="A2" t="s">
        <v>32</v>
      </c>
      <c r="B2">
        <v>6727.2000000000025</v>
      </c>
      <c r="C2" s="5">
        <f>SUM($B$2:B2)/SUM($B$2:$B$12)</f>
        <v>0.27054352415998079</v>
      </c>
    </row>
    <row r="3" spans="1:3" x14ac:dyDescent="0.45">
      <c r="A3" t="s">
        <v>59</v>
      </c>
      <c r="B3">
        <v>3442.8000000000006</v>
      </c>
      <c r="C3" s="5">
        <f>SUM($B$2:B3)/SUM($B$2:$B$12)</f>
        <v>0.40900042227182248</v>
      </c>
    </row>
    <row r="4" spans="1:3" x14ac:dyDescent="0.45">
      <c r="A4" t="s">
        <v>25</v>
      </c>
      <c r="B4">
        <v>3244.4</v>
      </c>
      <c r="C4" s="5">
        <f>SUM($B$2:B4)/SUM($B$2:$B$12)</f>
        <v>0.53947839375842033</v>
      </c>
    </row>
    <row r="5" spans="1:3" x14ac:dyDescent="0.45">
      <c r="A5" t="s">
        <v>45</v>
      </c>
      <c r="B5">
        <v>3213.3000000000011</v>
      </c>
      <c r="C5" s="5">
        <f>SUM($B$2:B5)/SUM($B$2:$B$12)</f>
        <v>0.66870563632342006</v>
      </c>
    </row>
    <row r="6" spans="1:3" x14ac:dyDescent="0.45">
      <c r="A6" t="s">
        <v>18</v>
      </c>
      <c r="B6">
        <v>2411.1</v>
      </c>
      <c r="C6" s="5">
        <f>SUM($B$2:B6)/SUM($B$2:$B$12)</f>
        <v>0.76567131165671309</v>
      </c>
    </row>
    <row r="7" spans="1:3" x14ac:dyDescent="0.45">
      <c r="A7" t="s">
        <v>113</v>
      </c>
      <c r="B7">
        <v>2087.0000000000005</v>
      </c>
      <c r="C7" s="5">
        <f>SUM($B$2:B7)/SUM($B$2:$B$12)</f>
        <v>0.84960286340511959</v>
      </c>
    </row>
    <row r="8" spans="1:3" x14ac:dyDescent="0.45">
      <c r="A8" t="s">
        <v>156</v>
      </c>
      <c r="B8">
        <v>1357.3</v>
      </c>
      <c r="C8" s="5">
        <f>SUM($B$2:B8)/SUM($B$2:$B$12)</f>
        <v>0.90418853431461255</v>
      </c>
    </row>
    <row r="9" spans="1:3" x14ac:dyDescent="0.45">
      <c r="A9" t="s">
        <v>69</v>
      </c>
      <c r="B9">
        <v>692.40000000000009</v>
      </c>
      <c r="C9" s="5">
        <f>SUM($B$2:B9)/SUM($B$2:$B$12)</f>
        <v>0.93203434477488889</v>
      </c>
    </row>
    <row r="10" spans="1:3" x14ac:dyDescent="0.45">
      <c r="A10" t="s">
        <v>82</v>
      </c>
      <c r="B10">
        <v>625.49999999999989</v>
      </c>
      <c r="C10" s="5">
        <f>SUM($B$2:B10)/SUM($B$2:$B$12)</f>
        <v>0.95718968048098774</v>
      </c>
    </row>
    <row r="11" spans="1:3" x14ac:dyDescent="0.45">
      <c r="A11" t="s">
        <v>52</v>
      </c>
      <c r="B11">
        <v>611.5</v>
      </c>
      <c r="C11" s="5">
        <f>SUM($B$2:B11)/SUM($B$2:$B$12)</f>
        <v>0.98178198709054709</v>
      </c>
    </row>
    <row r="12" spans="1:3" x14ac:dyDescent="0.45">
      <c r="A12" t="s">
        <v>202</v>
      </c>
      <c r="B12">
        <v>453</v>
      </c>
      <c r="C12" s="5">
        <f>SUM($B$2:B12)/SUM($B$2:$B$12)</f>
        <v>1</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CE041-D6EC-478C-AA12-AC606D3FA326}">
  <dimension ref="A1:X496"/>
  <sheetViews>
    <sheetView topLeftCell="K1" zoomScale="85" zoomScaleNormal="85" workbookViewId="0">
      <selection activeCell="P1" sqref="P1:U4"/>
    </sheetView>
  </sheetViews>
  <sheetFormatPr defaultRowHeight="14.25" x14ac:dyDescent="0.45"/>
  <cols>
    <col min="1" max="1" width="16.1328125" bestFit="1" customWidth="1"/>
    <col min="2" max="2" width="12.59765625" bestFit="1" customWidth="1"/>
    <col min="3" max="3" width="15.265625" bestFit="1" customWidth="1"/>
    <col min="4" max="4" width="7.73046875" bestFit="1" customWidth="1"/>
    <col min="6" max="6" width="14.53125" bestFit="1" customWidth="1"/>
    <col min="7" max="7" width="14.6640625" bestFit="1" customWidth="1"/>
    <col min="8" max="9" width="11.796875" bestFit="1" customWidth="1"/>
    <col min="11" max="11" width="10.86328125" customWidth="1"/>
    <col min="12" max="12" width="9.9296875" customWidth="1"/>
    <col min="13" max="13" width="10.86328125" customWidth="1"/>
    <col min="18" max="18" width="9.796875" customWidth="1"/>
    <col min="19" max="19" width="17.46484375" customWidth="1"/>
  </cols>
  <sheetData>
    <row r="1" spans="1:24" x14ac:dyDescent="0.45">
      <c r="A1" t="s">
        <v>14</v>
      </c>
      <c r="B1" t="s">
        <v>15</v>
      </c>
      <c r="C1" t="s">
        <v>6</v>
      </c>
      <c r="D1" t="s">
        <v>3</v>
      </c>
      <c r="E1" t="s">
        <v>4</v>
      </c>
      <c r="F1" t="s">
        <v>5</v>
      </c>
      <c r="G1" t="s">
        <v>12</v>
      </c>
      <c r="H1" t="s">
        <v>11</v>
      </c>
      <c r="K1" t="s">
        <v>1574</v>
      </c>
      <c r="L1" t="s">
        <v>1582</v>
      </c>
      <c r="M1" t="s">
        <v>1575</v>
      </c>
      <c r="P1" t="s">
        <v>1576</v>
      </c>
      <c r="Q1" t="s">
        <v>1584</v>
      </c>
      <c r="R1" t="s">
        <v>1551</v>
      </c>
      <c r="S1" t="s">
        <v>1552</v>
      </c>
      <c r="T1" t="s">
        <v>1580</v>
      </c>
      <c r="U1" t="s">
        <v>1581</v>
      </c>
    </row>
    <row r="2" spans="1:24" x14ac:dyDescent="0.45">
      <c r="A2">
        <v>138.69999999999999</v>
      </c>
      <c r="B2">
        <v>9</v>
      </c>
      <c r="C2">
        <v>7.92</v>
      </c>
      <c r="D2">
        <v>222.89</v>
      </c>
      <c r="E2">
        <v>24.31</v>
      </c>
      <c r="F2">
        <v>2.3328617</v>
      </c>
      <c r="G2">
        <v>11.34</v>
      </c>
      <c r="H2">
        <v>4.3902707000000003</v>
      </c>
      <c r="K2">
        <v>118.87800994273755</v>
      </c>
      <c r="L2">
        <v>120.05492237990012</v>
      </c>
      <c r="M2">
        <v>119.78910305445531</v>
      </c>
      <c r="P2" t="s">
        <v>1577</v>
      </c>
      <c r="Q2">
        <v>7</v>
      </c>
      <c r="R2">
        <v>0.69176150191230179</v>
      </c>
      <c r="S2">
        <v>0.68733096908557922</v>
      </c>
      <c r="T2">
        <f>SUMXMY2($A$2:$A$496,K2:K496)/COUNT($A$2:$A$496)</f>
        <v>2530.0688422810081</v>
      </c>
      <c r="U2" s="10" cm="1">
        <f t="array" ref="U2">AVERAGE(ABS(($A$2:$A$496-K2:K496)/$A$2:$A$496))</f>
        <v>0.77551416014565988</v>
      </c>
    </row>
    <row r="3" spans="1:24" x14ac:dyDescent="0.45">
      <c r="A3">
        <v>10.8</v>
      </c>
      <c r="B3">
        <v>0.6</v>
      </c>
      <c r="C3">
        <v>1.7</v>
      </c>
      <c r="D3">
        <v>60.24</v>
      </c>
      <c r="E3">
        <v>27.76</v>
      </c>
      <c r="F3">
        <v>1.1479592000000001</v>
      </c>
      <c r="G3">
        <v>6.35</v>
      </c>
      <c r="H3">
        <v>3.5754826</v>
      </c>
      <c r="K3">
        <v>16.864971200937209</v>
      </c>
      <c r="L3">
        <v>15.399121627034635</v>
      </c>
      <c r="M3" s="5">
        <v>15.897599227213597</v>
      </c>
      <c r="P3" t="s">
        <v>1578</v>
      </c>
      <c r="Q3">
        <v>5</v>
      </c>
      <c r="R3">
        <v>0.69066910715197238</v>
      </c>
      <c r="S3">
        <v>0.68750621458706418</v>
      </c>
      <c r="T3">
        <f>SUMXMY2($A$2:$A$496,L2:L496)/COUNT($A$2:$A$496)</f>
        <v>2539.0353859273309</v>
      </c>
      <c r="U3" s="10" cm="1">
        <f t="array" ref="U3">AVERAGE(ABS(($A$2:$A$496-L2:L496)/$A$2:$A$496))</f>
        <v>0.745781184169508</v>
      </c>
    </row>
    <row r="4" spans="1:24" x14ac:dyDescent="0.45">
      <c r="A4">
        <v>102.1</v>
      </c>
      <c r="B4">
        <v>5.7</v>
      </c>
      <c r="C4">
        <v>0.26</v>
      </c>
      <c r="D4">
        <v>56.27</v>
      </c>
      <c r="E4">
        <v>22.51</v>
      </c>
      <c r="F4">
        <v>1.9089824</v>
      </c>
      <c r="G4">
        <v>3.19</v>
      </c>
      <c r="H4">
        <v>3.7404804</v>
      </c>
      <c r="K4">
        <v>67.182151668165332</v>
      </c>
      <c r="L4">
        <v>66.890909086369987</v>
      </c>
      <c r="M4">
        <v>67.160813207567557</v>
      </c>
      <c r="P4" t="s">
        <v>1579</v>
      </c>
      <c r="Q4">
        <v>4</v>
      </c>
      <c r="R4">
        <v>0.68895578704904037</v>
      </c>
      <c r="S4">
        <v>0.68641665061678758</v>
      </c>
      <c r="T4">
        <f>SUMXMY2($A$2:$A$496,M2:M496)/COUNT($A$2:$A$496)</f>
        <v>2553.0985799675768</v>
      </c>
      <c r="U4" s="10" cm="1">
        <f t="array" ref="U4">AVERAGE(ABS(($A$2:$A$496-M2:M496)/$A$2:$A$496))</f>
        <v>0.75335606591320625</v>
      </c>
    </row>
    <row r="5" spans="1:24" x14ac:dyDescent="0.45">
      <c r="A5">
        <v>181.4</v>
      </c>
      <c r="B5">
        <v>10.3</v>
      </c>
      <c r="C5">
        <v>3.29</v>
      </c>
      <c r="D5">
        <v>108.48</v>
      </c>
      <c r="E5">
        <v>19.41</v>
      </c>
      <c r="F5">
        <v>2.4995598999999999</v>
      </c>
      <c r="G5">
        <v>26.14</v>
      </c>
      <c r="H5">
        <v>6.2915710000000002</v>
      </c>
      <c r="K5">
        <v>118.18851983722878</v>
      </c>
      <c r="L5">
        <v>118.82504580735514</v>
      </c>
      <c r="M5">
        <v>116.03116166577301</v>
      </c>
    </row>
    <row r="6" spans="1:24" x14ac:dyDescent="0.45">
      <c r="A6">
        <v>98.8</v>
      </c>
      <c r="B6">
        <v>5.6</v>
      </c>
      <c r="C6">
        <v>5.44</v>
      </c>
      <c r="D6">
        <v>150.51</v>
      </c>
      <c r="E6">
        <v>25.47</v>
      </c>
      <c r="F6">
        <v>1.7144699000000001</v>
      </c>
      <c r="G6">
        <v>10.62</v>
      </c>
      <c r="H6">
        <v>2.604117</v>
      </c>
      <c r="K6">
        <v>74.656705730890991</v>
      </c>
      <c r="L6">
        <v>74.42503758546097</v>
      </c>
      <c r="M6">
        <v>76.046796305644349</v>
      </c>
    </row>
    <row r="7" spans="1:24" ht="14.65" thickBot="1" x14ac:dyDescent="0.5">
      <c r="A7">
        <v>52.5</v>
      </c>
      <c r="B7">
        <v>2.7</v>
      </c>
      <c r="C7">
        <v>1.28</v>
      </c>
      <c r="D7">
        <v>65.83</v>
      </c>
      <c r="E7">
        <v>31.8</v>
      </c>
      <c r="F7">
        <v>0.43190324000000002</v>
      </c>
      <c r="G7">
        <v>5.16</v>
      </c>
      <c r="H7">
        <v>10.59512</v>
      </c>
      <c r="K7">
        <v>49.478639366593008</v>
      </c>
      <c r="L7">
        <v>46.477943060038186</v>
      </c>
      <c r="M7">
        <v>39.157134453727494</v>
      </c>
    </row>
    <row r="8" spans="1:24" x14ac:dyDescent="0.45">
      <c r="A8">
        <v>6.2</v>
      </c>
      <c r="B8">
        <v>0.6</v>
      </c>
      <c r="C8">
        <v>7.43</v>
      </c>
      <c r="D8">
        <v>145.41</v>
      </c>
      <c r="E8">
        <v>18.22</v>
      </c>
      <c r="F8">
        <v>0.35118526</v>
      </c>
      <c r="G8">
        <v>3.55</v>
      </c>
      <c r="H8">
        <v>1.7953473</v>
      </c>
      <c r="K8">
        <v>20.993874484641744</v>
      </c>
      <c r="L8">
        <v>18.202534699276406</v>
      </c>
      <c r="M8">
        <v>20.459754973911778</v>
      </c>
      <c r="P8" s="7"/>
      <c r="Q8" s="7" t="s">
        <v>14</v>
      </c>
      <c r="R8" s="7" t="s">
        <v>15</v>
      </c>
      <c r="S8" s="7" t="s">
        <v>6</v>
      </c>
      <c r="T8" s="7" t="s">
        <v>3</v>
      </c>
      <c r="U8" s="7" t="s">
        <v>4</v>
      </c>
      <c r="V8" s="7" t="s">
        <v>5</v>
      </c>
      <c r="W8" s="7" t="s">
        <v>12</v>
      </c>
      <c r="X8" s="7" t="s">
        <v>11</v>
      </c>
    </row>
    <row r="9" spans="1:24" x14ac:dyDescent="0.45">
      <c r="A9">
        <v>94.6</v>
      </c>
      <c r="B9">
        <v>2.5</v>
      </c>
      <c r="C9">
        <v>3.39</v>
      </c>
      <c r="D9">
        <v>185.16</v>
      </c>
      <c r="E9">
        <v>52.31</v>
      </c>
      <c r="F9">
        <v>0</v>
      </c>
      <c r="G9">
        <v>11.06</v>
      </c>
      <c r="H9">
        <v>13.092817999999999</v>
      </c>
      <c r="K9">
        <v>75.393812833448635</v>
      </c>
      <c r="L9">
        <v>72.425723294708845</v>
      </c>
      <c r="M9">
        <v>63.251049820463734</v>
      </c>
      <c r="P9" t="s">
        <v>14</v>
      </c>
      <c r="Q9">
        <v>1</v>
      </c>
    </row>
    <row r="10" spans="1:24" x14ac:dyDescent="0.45">
      <c r="A10">
        <v>8.1</v>
      </c>
      <c r="B10">
        <v>0.9</v>
      </c>
      <c r="C10">
        <v>6.19</v>
      </c>
      <c r="D10">
        <v>109.63</v>
      </c>
      <c r="E10">
        <v>19.54</v>
      </c>
      <c r="F10">
        <v>0.21832074000000001</v>
      </c>
      <c r="G10">
        <v>2.5099999999999998</v>
      </c>
      <c r="H10">
        <v>1.1301060999999999</v>
      </c>
      <c r="K10">
        <v>18.492289709960037</v>
      </c>
      <c r="L10">
        <v>15.230548591865805</v>
      </c>
      <c r="M10">
        <v>18.126168139652261</v>
      </c>
      <c r="P10" t="s">
        <v>15</v>
      </c>
      <c r="Q10">
        <v>0.77056136872058079</v>
      </c>
      <c r="R10">
        <v>1</v>
      </c>
    </row>
    <row r="11" spans="1:24" x14ac:dyDescent="0.45">
      <c r="A11">
        <v>11.2</v>
      </c>
      <c r="B11">
        <v>0.3</v>
      </c>
      <c r="C11">
        <v>0.03</v>
      </c>
      <c r="D11">
        <v>11.22</v>
      </c>
      <c r="E11">
        <v>187</v>
      </c>
      <c r="F11">
        <v>0</v>
      </c>
      <c r="G11">
        <v>21.47</v>
      </c>
      <c r="H11">
        <v>2.1091954999999998</v>
      </c>
      <c r="K11">
        <v>26.011326013665247</v>
      </c>
      <c r="L11">
        <v>23.631933140805256</v>
      </c>
      <c r="M11">
        <v>27.632929549560952</v>
      </c>
      <c r="P11" t="s">
        <v>6</v>
      </c>
      <c r="Q11">
        <v>0.1944089751001033</v>
      </c>
      <c r="R11">
        <v>0.17793469577806773</v>
      </c>
      <c r="S11">
        <v>1</v>
      </c>
    </row>
    <row r="12" spans="1:24" x14ac:dyDescent="0.45">
      <c r="A12">
        <v>6.9</v>
      </c>
      <c r="B12">
        <v>3</v>
      </c>
      <c r="C12">
        <v>-1.72</v>
      </c>
      <c r="D12">
        <v>10.06</v>
      </c>
      <c r="E12">
        <v>9.9600000000000009</v>
      </c>
      <c r="F12">
        <v>4.9618320000000002</v>
      </c>
      <c r="G12">
        <v>2.2000000000000002</v>
      </c>
      <c r="H12">
        <v>0.65951382999999997</v>
      </c>
      <c r="K12">
        <v>23.893257318664869</v>
      </c>
      <c r="L12">
        <v>29.699153177265945</v>
      </c>
      <c r="M12">
        <v>33.269944521378612</v>
      </c>
      <c r="P12" t="s">
        <v>3</v>
      </c>
      <c r="Q12">
        <v>0.40774424966716444</v>
      </c>
      <c r="R12">
        <v>0.1805895661105929</v>
      </c>
      <c r="S12">
        <v>0.60903335721330898</v>
      </c>
      <c r="T12">
        <v>1</v>
      </c>
    </row>
    <row r="13" spans="1:24" x14ac:dyDescent="0.45">
      <c r="A13">
        <v>59.2</v>
      </c>
      <c r="B13">
        <v>4.0999999999999996</v>
      </c>
      <c r="C13">
        <v>5.75</v>
      </c>
      <c r="D13">
        <v>178</v>
      </c>
      <c r="E13">
        <v>18.11</v>
      </c>
      <c r="F13">
        <v>1.1019890000000001</v>
      </c>
      <c r="G13">
        <v>3.79</v>
      </c>
      <c r="H13">
        <v>0.99235459999999998</v>
      </c>
      <c r="K13">
        <v>63.966628594037665</v>
      </c>
      <c r="L13">
        <v>62.725469196380566</v>
      </c>
      <c r="M13">
        <v>66.304755083858339</v>
      </c>
      <c r="P13" t="s">
        <v>4</v>
      </c>
      <c r="Q13">
        <v>0.13258666310993475</v>
      </c>
      <c r="R13">
        <v>6.480031056009791E-4</v>
      </c>
      <c r="S13">
        <v>8.8787421651966725E-3</v>
      </c>
      <c r="T13">
        <v>0.1991712038965186</v>
      </c>
      <c r="U13">
        <v>1</v>
      </c>
    </row>
    <row r="14" spans="1:24" x14ac:dyDescent="0.45">
      <c r="A14">
        <v>10.4</v>
      </c>
      <c r="B14">
        <v>1.3</v>
      </c>
      <c r="C14">
        <v>12.07</v>
      </c>
      <c r="D14">
        <v>179.11</v>
      </c>
      <c r="E14">
        <v>12.24</v>
      </c>
      <c r="F14">
        <v>0.63873950000000002</v>
      </c>
      <c r="G14">
        <v>2.89</v>
      </c>
      <c r="H14">
        <v>4.5912350000000002</v>
      </c>
      <c r="K14">
        <v>26.364702515218564</v>
      </c>
      <c r="L14">
        <v>24.136433454930103</v>
      </c>
      <c r="M14">
        <v>22.741447964042774</v>
      </c>
      <c r="P14" t="s">
        <v>5</v>
      </c>
      <c r="Q14">
        <v>-2.688544644840056E-2</v>
      </c>
      <c r="R14">
        <v>0.12228087372877075</v>
      </c>
      <c r="S14">
        <v>-8.8261377485327766E-2</v>
      </c>
      <c r="T14">
        <v>-0.24534375947671602</v>
      </c>
      <c r="U14">
        <v>-0.20088369971171149</v>
      </c>
      <c r="V14">
        <v>1</v>
      </c>
    </row>
    <row r="15" spans="1:24" x14ac:dyDescent="0.45">
      <c r="A15">
        <v>33.4</v>
      </c>
      <c r="B15">
        <v>0</v>
      </c>
      <c r="C15">
        <v>11.01</v>
      </c>
      <c r="D15">
        <v>83.25</v>
      </c>
      <c r="E15">
        <v>12.24</v>
      </c>
      <c r="F15">
        <v>2.4299065999999998</v>
      </c>
      <c r="G15">
        <v>1.53</v>
      </c>
      <c r="H15">
        <v>1.5429344</v>
      </c>
      <c r="K15">
        <v>-12.442646324184976</v>
      </c>
      <c r="L15">
        <v>-11.475157808937835</v>
      </c>
      <c r="M15">
        <v>-10.047791295142137</v>
      </c>
      <c r="P15" t="s">
        <v>12</v>
      </c>
      <c r="Q15">
        <v>3.423338072356031E-2</v>
      </c>
      <c r="R15">
        <v>3.5167938235804268E-2</v>
      </c>
      <c r="S15">
        <v>3.1637519988979568E-2</v>
      </c>
      <c r="T15">
        <v>2.3508597035949909E-2</v>
      </c>
      <c r="U15">
        <v>3.6644285965650633E-4</v>
      </c>
      <c r="V15">
        <v>8.9066995978012597E-2</v>
      </c>
      <c r="W15">
        <v>1</v>
      </c>
    </row>
    <row r="16" spans="1:24" ht="14.65" thickBot="1" x14ac:dyDescent="0.5">
      <c r="A16">
        <v>22</v>
      </c>
      <c r="B16">
        <v>1.1000000000000001</v>
      </c>
      <c r="C16">
        <v>2.1</v>
      </c>
      <c r="D16">
        <v>65.05</v>
      </c>
      <c r="E16">
        <v>27.45</v>
      </c>
      <c r="F16">
        <v>0.87569790000000003</v>
      </c>
      <c r="G16">
        <v>4.5599999999999996</v>
      </c>
      <c r="H16">
        <v>6.493563</v>
      </c>
      <c r="K16">
        <v>25.695820885668599</v>
      </c>
      <c r="L16">
        <v>23.658371978320851</v>
      </c>
      <c r="M16">
        <v>20.828546861297966</v>
      </c>
      <c r="P16" s="6" t="s">
        <v>11</v>
      </c>
      <c r="Q16" s="6">
        <v>9.395792851638779E-2</v>
      </c>
      <c r="R16" s="6">
        <v>-3.7989922341457871E-2</v>
      </c>
      <c r="S16" s="6">
        <v>-3.9325548893008974E-2</v>
      </c>
      <c r="T16" s="6">
        <v>0.18108040102098921</v>
      </c>
      <c r="U16" s="6">
        <v>0.18700888963808082</v>
      </c>
      <c r="V16" s="6">
        <v>-8.1115079872031065E-2</v>
      </c>
      <c r="W16" s="6">
        <v>1.2300444241587933E-2</v>
      </c>
      <c r="X16" s="6">
        <v>1</v>
      </c>
    </row>
    <row r="17" spans="1:13" x14ac:dyDescent="0.45">
      <c r="A17">
        <v>34.6</v>
      </c>
      <c r="B17">
        <v>2.5</v>
      </c>
      <c r="C17">
        <v>13.66</v>
      </c>
      <c r="D17">
        <v>152.80000000000001</v>
      </c>
      <c r="E17">
        <v>24.22</v>
      </c>
      <c r="F17">
        <v>2.7811135999999999</v>
      </c>
      <c r="G17">
        <v>3.35</v>
      </c>
      <c r="H17">
        <v>4.1163683000000004</v>
      </c>
      <c r="K17">
        <v>24.910468006182967</v>
      </c>
      <c r="L17">
        <v>26.918376416072675</v>
      </c>
      <c r="M17">
        <v>25.714451065165118</v>
      </c>
    </row>
    <row r="18" spans="1:13" x14ac:dyDescent="0.45">
      <c r="A18">
        <v>10.9</v>
      </c>
      <c r="B18">
        <v>0.8</v>
      </c>
      <c r="C18">
        <v>1.79</v>
      </c>
      <c r="D18">
        <v>62.49</v>
      </c>
      <c r="E18">
        <v>32.549999999999997</v>
      </c>
      <c r="F18">
        <v>0</v>
      </c>
      <c r="G18">
        <v>3.25</v>
      </c>
      <c r="H18">
        <v>5.8546524</v>
      </c>
      <c r="K18">
        <v>24.574759411139212</v>
      </c>
      <c r="L18">
        <v>20.818936909342234</v>
      </c>
      <c r="M18">
        <v>18.807337251393314</v>
      </c>
    </row>
    <row r="19" spans="1:13" x14ac:dyDescent="0.45">
      <c r="A19">
        <v>7.9</v>
      </c>
      <c r="B19">
        <v>1.7</v>
      </c>
      <c r="C19">
        <v>8.2799999999999994</v>
      </c>
      <c r="D19">
        <v>64.040000000000006</v>
      </c>
      <c r="E19">
        <v>9.66</v>
      </c>
      <c r="F19">
        <v>1.9928383000000001</v>
      </c>
      <c r="G19">
        <v>2.21</v>
      </c>
      <c r="H19">
        <v>0.98010920000000001</v>
      </c>
      <c r="K19">
        <v>6.2452798119412547</v>
      </c>
      <c r="L19">
        <v>6.1084446649691984</v>
      </c>
      <c r="M19">
        <v>8.3279974090674571</v>
      </c>
    </row>
    <row r="20" spans="1:13" x14ac:dyDescent="0.45">
      <c r="A20">
        <v>11.8</v>
      </c>
      <c r="B20">
        <v>0.7</v>
      </c>
      <c r="C20">
        <v>5.66</v>
      </c>
      <c r="D20">
        <v>105.18</v>
      </c>
      <c r="E20">
        <v>26.03</v>
      </c>
      <c r="F20">
        <v>1.2004125999999999</v>
      </c>
      <c r="G20">
        <v>2.98</v>
      </c>
      <c r="H20">
        <v>5.3666204999999998</v>
      </c>
      <c r="K20">
        <v>20.301058847804779</v>
      </c>
      <c r="L20">
        <v>19.121232722471607</v>
      </c>
      <c r="M20">
        <v>17.36850584448089</v>
      </c>
    </row>
    <row r="21" spans="1:13" x14ac:dyDescent="0.45">
      <c r="A21">
        <v>12</v>
      </c>
      <c r="B21">
        <v>0</v>
      </c>
      <c r="C21">
        <v>1.57</v>
      </c>
      <c r="D21">
        <v>114.58</v>
      </c>
      <c r="E21">
        <v>19.03</v>
      </c>
      <c r="F21">
        <v>3.0262272000000001</v>
      </c>
      <c r="G21">
        <v>2.0699999999999998</v>
      </c>
      <c r="H21">
        <v>10.492155</v>
      </c>
      <c r="K21">
        <v>26.383081602780411</v>
      </c>
      <c r="L21">
        <v>29.102068539119756</v>
      </c>
      <c r="M21">
        <v>22.189052727017586</v>
      </c>
    </row>
    <row r="22" spans="1:13" x14ac:dyDescent="0.45">
      <c r="A22">
        <v>26.2</v>
      </c>
      <c r="B22">
        <v>1.1000000000000001</v>
      </c>
      <c r="C22">
        <v>1.77</v>
      </c>
      <c r="D22">
        <v>108.47</v>
      </c>
      <c r="E22">
        <v>22.18</v>
      </c>
      <c r="F22">
        <v>0</v>
      </c>
      <c r="G22">
        <v>2.82</v>
      </c>
      <c r="H22">
        <v>9.7205619999999993</v>
      </c>
      <c r="K22">
        <v>41.01481176886216</v>
      </c>
      <c r="L22">
        <v>37.416735872371596</v>
      </c>
      <c r="M22">
        <v>31.298376968381856</v>
      </c>
    </row>
    <row r="23" spans="1:13" x14ac:dyDescent="0.45">
      <c r="A23">
        <v>18.8</v>
      </c>
      <c r="B23">
        <v>0.4</v>
      </c>
      <c r="C23">
        <v>2.84</v>
      </c>
      <c r="D23">
        <v>220.71</v>
      </c>
      <c r="E23">
        <v>56.59</v>
      </c>
      <c r="F23">
        <v>0</v>
      </c>
      <c r="G23">
        <v>16.440000000000001</v>
      </c>
      <c r="H23">
        <v>13.138819</v>
      </c>
      <c r="K23">
        <v>64.705198979726688</v>
      </c>
      <c r="L23">
        <v>62.145357773078359</v>
      </c>
      <c r="M23">
        <v>53.419818328514602</v>
      </c>
    </row>
    <row r="24" spans="1:13" x14ac:dyDescent="0.45">
      <c r="A24">
        <v>7.6</v>
      </c>
      <c r="B24">
        <v>0.5</v>
      </c>
      <c r="C24">
        <v>2.37</v>
      </c>
      <c r="D24">
        <v>77.319999999999993</v>
      </c>
      <c r="E24">
        <v>21.07</v>
      </c>
      <c r="F24">
        <v>0.80040020000000001</v>
      </c>
      <c r="G24">
        <v>20.48</v>
      </c>
      <c r="H24">
        <v>4.2652320000000001</v>
      </c>
      <c r="K24">
        <v>18.968655779321786</v>
      </c>
      <c r="L24">
        <v>16.705463980431357</v>
      </c>
      <c r="M24">
        <v>16.390208196501021</v>
      </c>
    </row>
    <row r="25" spans="1:13" x14ac:dyDescent="0.45">
      <c r="A25">
        <v>56.7</v>
      </c>
      <c r="B25">
        <v>-2.9</v>
      </c>
      <c r="C25">
        <v>38.35</v>
      </c>
      <c r="D25">
        <v>164.2</v>
      </c>
      <c r="E25">
        <v>10.65</v>
      </c>
      <c r="F25">
        <v>1.643289</v>
      </c>
      <c r="G25">
        <v>0.83</v>
      </c>
      <c r="H25">
        <v>4.8201150000000004</v>
      </c>
      <c r="K25">
        <v>-81.670826415084406</v>
      </c>
      <c r="L25">
        <v>-82.366213683935882</v>
      </c>
      <c r="M25">
        <v>-87.934365668873966</v>
      </c>
    </row>
    <row r="26" spans="1:13" x14ac:dyDescent="0.45">
      <c r="A26">
        <v>13.6</v>
      </c>
      <c r="B26">
        <v>2.1</v>
      </c>
      <c r="C26">
        <v>14.13</v>
      </c>
      <c r="D26">
        <v>240.6</v>
      </c>
      <c r="E26">
        <v>13.02</v>
      </c>
      <c r="F26">
        <v>0.92401219999999995</v>
      </c>
      <c r="G26">
        <v>8.2799999999999994</v>
      </c>
      <c r="H26">
        <v>1.7282298</v>
      </c>
      <c r="K26">
        <v>39.420226312006605</v>
      </c>
      <c r="L26">
        <v>38.039974614602833</v>
      </c>
      <c r="M26">
        <v>40.074074638845616</v>
      </c>
    </row>
    <row r="27" spans="1:13" x14ac:dyDescent="0.45">
      <c r="A27">
        <v>8.6999999999999993</v>
      </c>
      <c r="B27">
        <v>1.2</v>
      </c>
      <c r="C27">
        <v>1.65</v>
      </c>
      <c r="D27">
        <v>37.14</v>
      </c>
      <c r="E27">
        <v>19.86</v>
      </c>
      <c r="F27">
        <v>3.5733332999999998</v>
      </c>
      <c r="G27">
        <v>2.13</v>
      </c>
      <c r="H27">
        <v>3.4331480999999999</v>
      </c>
      <c r="K27">
        <v>11.586229092076564</v>
      </c>
      <c r="L27">
        <v>14.857180599596848</v>
      </c>
      <c r="M27">
        <v>15.209919735342382</v>
      </c>
    </row>
    <row r="28" spans="1:13" x14ac:dyDescent="0.45">
      <c r="A28">
        <v>34.799999999999997</v>
      </c>
      <c r="B28">
        <v>0</v>
      </c>
      <c r="C28">
        <v>4.68</v>
      </c>
      <c r="D28">
        <v>90.06</v>
      </c>
      <c r="E28">
        <v>13.26</v>
      </c>
      <c r="F28">
        <v>1.5278208</v>
      </c>
      <c r="G28">
        <v>1.67</v>
      </c>
      <c r="H28">
        <v>1.2085556</v>
      </c>
      <c r="K28">
        <v>5.5276916920082533</v>
      </c>
      <c r="L28">
        <v>4.8729549477371528</v>
      </c>
      <c r="M28">
        <v>7.6866817109141961</v>
      </c>
    </row>
    <row r="29" spans="1:13" x14ac:dyDescent="0.45">
      <c r="A29">
        <v>733.8</v>
      </c>
      <c r="B29">
        <v>34.200000000000003</v>
      </c>
      <c r="C29">
        <v>22.27</v>
      </c>
      <c r="D29">
        <v>1007.71</v>
      </c>
      <c r="E29">
        <v>31.48</v>
      </c>
      <c r="F29">
        <v>0</v>
      </c>
      <c r="G29">
        <v>4.7</v>
      </c>
      <c r="H29">
        <v>6.8016920000000001</v>
      </c>
      <c r="K29">
        <v>515.39542780785473</v>
      </c>
      <c r="L29">
        <v>514.81711920085991</v>
      </c>
      <c r="M29">
        <v>515.67036390572946</v>
      </c>
    </row>
    <row r="30" spans="1:13" x14ac:dyDescent="0.45">
      <c r="A30">
        <v>728.5</v>
      </c>
      <c r="B30">
        <v>32.700000000000003</v>
      </c>
      <c r="C30">
        <v>22.27</v>
      </c>
      <c r="D30">
        <v>1001.52</v>
      </c>
      <c r="E30">
        <v>40.29</v>
      </c>
      <c r="F30">
        <v>0</v>
      </c>
      <c r="G30">
        <v>4.67</v>
      </c>
      <c r="H30">
        <v>6.772653</v>
      </c>
      <c r="K30">
        <v>500.33330445838578</v>
      </c>
      <c r="L30">
        <v>499.92323974549311</v>
      </c>
      <c r="M30">
        <v>500.91381831623971</v>
      </c>
    </row>
    <row r="31" spans="1:13" x14ac:dyDescent="0.45">
      <c r="A31">
        <v>127</v>
      </c>
      <c r="B31">
        <v>10.8</v>
      </c>
      <c r="C31">
        <v>5.31</v>
      </c>
      <c r="D31">
        <v>64.05</v>
      </c>
      <c r="E31">
        <v>18.89</v>
      </c>
      <c r="F31">
        <v>3.9526875000000001</v>
      </c>
      <c r="G31">
        <v>10.32</v>
      </c>
      <c r="H31">
        <v>4.9456819999999997</v>
      </c>
      <c r="K31">
        <v>103.70469761244838</v>
      </c>
      <c r="L31">
        <v>107.06094465520091</v>
      </c>
      <c r="M31">
        <v>105.08690822165703</v>
      </c>
    </row>
    <row r="32" spans="1:13" x14ac:dyDescent="0.45">
      <c r="A32">
        <v>685.9</v>
      </c>
      <c r="B32">
        <v>16.100000000000001</v>
      </c>
      <c r="C32">
        <v>6.16</v>
      </c>
      <c r="D32">
        <v>1350.5</v>
      </c>
      <c r="E32">
        <v>296.16000000000003</v>
      </c>
      <c r="F32">
        <v>0</v>
      </c>
      <c r="G32">
        <v>24.28</v>
      </c>
      <c r="H32">
        <v>3.9270529999999999</v>
      </c>
      <c r="K32">
        <v>480.38806674080683</v>
      </c>
      <c r="L32">
        <v>486.68027862015481</v>
      </c>
      <c r="M32">
        <v>499.95923796011567</v>
      </c>
    </row>
    <row r="33" spans="1:13" x14ac:dyDescent="0.45">
      <c r="A33">
        <v>12.9</v>
      </c>
      <c r="B33">
        <v>2.2999999999999998</v>
      </c>
      <c r="C33">
        <v>2.68</v>
      </c>
      <c r="D33">
        <v>52.59</v>
      </c>
      <c r="E33">
        <v>20.38</v>
      </c>
      <c r="F33">
        <v>3.4404963999999998</v>
      </c>
      <c r="G33">
        <v>1.79</v>
      </c>
      <c r="H33">
        <v>2.6931189999999998</v>
      </c>
      <c r="K33">
        <v>22.870625862507644</v>
      </c>
      <c r="L33">
        <v>25.871130195272364</v>
      </c>
      <c r="M33">
        <v>27.009318889783891</v>
      </c>
    </row>
    <row r="34" spans="1:13" x14ac:dyDescent="0.45">
      <c r="A34">
        <v>24.6</v>
      </c>
      <c r="B34">
        <v>5.8</v>
      </c>
      <c r="C34">
        <v>3.91</v>
      </c>
      <c r="D34">
        <v>48.6</v>
      </c>
      <c r="E34">
        <v>9.92</v>
      </c>
      <c r="F34">
        <v>0.77821010000000002</v>
      </c>
      <c r="G34">
        <v>6.03</v>
      </c>
      <c r="H34">
        <v>0.58022565000000004</v>
      </c>
      <c r="K34">
        <v>55.208748918777388</v>
      </c>
      <c r="L34">
        <v>52.274212642372035</v>
      </c>
      <c r="M34">
        <v>55.339636020279265</v>
      </c>
    </row>
    <row r="35" spans="1:13" x14ac:dyDescent="0.45">
      <c r="A35">
        <v>31.7</v>
      </c>
      <c r="B35">
        <v>4.5</v>
      </c>
      <c r="C35">
        <v>1.24</v>
      </c>
      <c r="D35">
        <v>63.38</v>
      </c>
      <c r="E35">
        <v>17.32</v>
      </c>
      <c r="F35">
        <v>3.8479443</v>
      </c>
      <c r="G35">
        <v>1.81</v>
      </c>
      <c r="H35">
        <v>2.7489933999999998</v>
      </c>
      <c r="K35">
        <v>49.034012027668901</v>
      </c>
      <c r="L35">
        <v>52.789461631052461</v>
      </c>
      <c r="M35">
        <v>54.063619946302744</v>
      </c>
    </row>
    <row r="36" spans="1:13" x14ac:dyDescent="0.45">
      <c r="A36">
        <v>80.400000000000006</v>
      </c>
      <c r="B36">
        <v>0</v>
      </c>
      <c r="C36">
        <v>2.9</v>
      </c>
      <c r="D36">
        <v>88.34</v>
      </c>
      <c r="E36">
        <v>15</v>
      </c>
      <c r="F36">
        <v>1.4955666999999999</v>
      </c>
      <c r="G36">
        <v>3.75</v>
      </c>
      <c r="H36">
        <v>2.2735750000000001</v>
      </c>
      <c r="K36">
        <v>10.803647357807893</v>
      </c>
      <c r="L36">
        <v>10.123324233653717</v>
      </c>
      <c r="M36">
        <v>12.007455029252666</v>
      </c>
    </row>
    <row r="37" spans="1:13" x14ac:dyDescent="0.45">
      <c r="A37">
        <v>54.4</v>
      </c>
      <c r="B37">
        <v>0</v>
      </c>
      <c r="C37">
        <v>-0.76</v>
      </c>
      <c r="D37">
        <v>58.28</v>
      </c>
      <c r="E37">
        <v>23.22</v>
      </c>
      <c r="F37">
        <v>2.1167520999999998</v>
      </c>
      <c r="G37">
        <v>0.75</v>
      </c>
      <c r="H37">
        <v>1.4686535999999999</v>
      </c>
      <c r="K37">
        <v>11.398607247204875</v>
      </c>
      <c r="L37">
        <v>12.018847003158124</v>
      </c>
      <c r="M37">
        <v>15.202409401349998</v>
      </c>
    </row>
    <row r="38" spans="1:13" x14ac:dyDescent="0.45">
      <c r="A38">
        <v>59.2</v>
      </c>
      <c r="B38">
        <v>3.8</v>
      </c>
      <c r="C38">
        <v>1.97</v>
      </c>
      <c r="D38">
        <v>133.57</v>
      </c>
      <c r="E38">
        <v>20.68</v>
      </c>
      <c r="F38">
        <v>2</v>
      </c>
      <c r="G38">
        <v>9.2200000000000006</v>
      </c>
      <c r="H38">
        <v>11.954136999999999</v>
      </c>
      <c r="K38">
        <v>70.830744491734222</v>
      </c>
      <c r="L38">
        <v>71.240363822076944</v>
      </c>
      <c r="M38">
        <v>62.684693603845012</v>
      </c>
    </row>
    <row r="39" spans="1:13" x14ac:dyDescent="0.45">
      <c r="A39">
        <v>13.9</v>
      </c>
      <c r="B39">
        <v>1.7</v>
      </c>
      <c r="C39">
        <v>2.63</v>
      </c>
      <c r="D39">
        <v>76.06</v>
      </c>
      <c r="E39">
        <v>26.23</v>
      </c>
      <c r="F39">
        <v>2.1292970000000002</v>
      </c>
      <c r="G39">
        <v>2.5499999999999998</v>
      </c>
      <c r="H39">
        <v>5.553833</v>
      </c>
      <c r="K39">
        <v>28.98439645419905</v>
      </c>
      <c r="L39">
        <v>29.541954292646071</v>
      </c>
      <c r="M39">
        <v>27.752691472724315</v>
      </c>
    </row>
    <row r="40" spans="1:13" x14ac:dyDescent="0.45">
      <c r="A40">
        <v>23.5</v>
      </c>
      <c r="B40">
        <v>0</v>
      </c>
      <c r="C40">
        <v>9.44</v>
      </c>
      <c r="D40">
        <v>152.5</v>
      </c>
      <c r="E40">
        <v>12.41</v>
      </c>
      <c r="F40">
        <v>2.0735743000000002</v>
      </c>
      <c r="G40">
        <v>3.73</v>
      </c>
      <c r="H40">
        <v>1.9493247</v>
      </c>
      <c r="K40">
        <v>7.967247879285142</v>
      </c>
      <c r="L40">
        <v>8.6839683558967877</v>
      </c>
      <c r="M40">
        <v>10.474667527922021</v>
      </c>
    </row>
    <row r="41" spans="1:13" x14ac:dyDescent="0.45">
      <c r="A41">
        <v>20.6</v>
      </c>
      <c r="B41">
        <v>1</v>
      </c>
      <c r="C41">
        <v>1.64</v>
      </c>
      <c r="D41">
        <v>91.55</v>
      </c>
      <c r="E41">
        <v>15.54</v>
      </c>
      <c r="F41">
        <v>1.6132455999999999</v>
      </c>
      <c r="G41">
        <v>9.73</v>
      </c>
      <c r="H41">
        <v>0.17396983999999999</v>
      </c>
      <c r="K41">
        <v>21.742414358475546</v>
      </c>
      <c r="L41">
        <v>21.253747974755438</v>
      </c>
      <c r="M41">
        <v>25.695666856840894</v>
      </c>
    </row>
    <row r="42" spans="1:13" x14ac:dyDescent="0.45">
      <c r="A42">
        <v>17.100000000000001</v>
      </c>
      <c r="B42">
        <v>1</v>
      </c>
      <c r="C42">
        <v>2.94</v>
      </c>
      <c r="D42">
        <v>72.05</v>
      </c>
      <c r="E42">
        <v>27.61</v>
      </c>
      <c r="F42">
        <v>0.75512402999999995</v>
      </c>
      <c r="G42">
        <v>4.54</v>
      </c>
      <c r="H42">
        <v>4.0153679999999996</v>
      </c>
      <c r="K42">
        <v>21.78162151734141</v>
      </c>
      <c r="L42">
        <v>19.532532720489396</v>
      </c>
      <c r="M42">
        <v>19.436982896756518</v>
      </c>
    </row>
    <row r="43" spans="1:13" x14ac:dyDescent="0.45">
      <c r="A43">
        <v>128.1</v>
      </c>
      <c r="B43">
        <v>11.9</v>
      </c>
      <c r="C43">
        <v>2.57</v>
      </c>
      <c r="D43">
        <v>173.12</v>
      </c>
      <c r="E43">
        <v>13.76</v>
      </c>
      <c r="F43">
        <v>2.9751508000000002</v>
      </c>
      <c r="G43">
        <v>3.91</v>
      </c>
      <c r="H43">
        <v>5.5819200000000002</v>
      </c>
      <c r="K43">
        <v>147.3833240646714</v>
      </c>
      <c r="L43">
        <v>149.42882113332453</v>
      </c>
      <c r="M43">
        <v>147.96924264650752</v>
      </c>
    </row>
    <row r="44" spans="1:13" x14ac:dyDescent="0.45">
      <c r="A44">
        <v>27</v>
      </c>
      <c r="B44">
        <v>1.7</v>
      </c>
      <c r="C44">
        <v>2.0499999999999998</v>
      </c>
      <c r="D44">
        <v>84.44</v>
      </c>
      <c r="E44">
        <v>25.9</v>
      </c>
      <c r="F44">
        <v>0.86089709999999997</v>
      </c>
      <c r="G44">
        <v>6.64</v>
      </c>
      <c r="H44">
        <v>3.8567499999999999</v>
      </c>
      <c r="K44">
        <v>32.9047883641704</v>
      </c>
      <c r="L44">
        <v>30.893896863940562</v>
      </c>
      <c r="M44">
        <v>31.171148002300992</v>
      </c>
    </row>
    <row r="45" spans="1:13" x14ac:dyDescent="0.45">
      <c r="A45">
        <v>32.1</v>
      </c>
      <c r="B45">
        <v>3.1</v>
      </c>
      <c r="C45">
        <v>-5.9</v>
      </c>
      <c r="D45">
        <v>56.2</v>
      </c>
      <c r="E45">
        <v>-21.29</v>
      </c>
      <c r="F45">
        <v>1.7029973</v>
      </c>
      <c r="G45">
        <v>2.88</v>
      </c>
      <c r="H45">
        <v>3.9682211999999999</v>
      </c>
      <c r="K45">
        <v>51.853965669516725</v>
      </c>
      <c r="L45">
        <v>51.002968038667696</v>
      </c>
      <c r="M45">
        <v>51.456513961250536</v>
      </c>
    </row>
    <row r="46" spans="1:13" x14ac:dyDescent="0.45">
      <c r="A46">
        <v>31.8</v>
      </c>
      <c r="B46">
        <v>1.7</v>
      </c>
      <c r="C46">
        <v>2.11</v>
      </c>
      <c r="D46">
        <v>82.68</v>
      </c>
      <c r="E46">
        <v>17.670000000000002</v>
      </c>
      <c r="F46">
        <v>2.1089630000000001</v>
      </c>
      <c r="G46">
        <v>3.13</v>
      </c>
      <c r="H46">
        <v>8.0039099999999994</v>
      </c>
      <c r="K46">
        <v>33.515180024551057</v>
      </c>
      <c r="L46">
        <v>33.982429524579643</v>
      </c>
      <c r="M46">
        <v>29.455682398803432</v>
      </c>
    </row>
    <row r="47" spans="1:13" x14ac:dyDescent="0.45">
      <c r="A47">
        <v>15.7</v>
      </c>
      <c r="B47">
        <v>2.5</v>
      </c>
      <c r="C47">
        <v>6.13</v>
      </c>
      <c r="D47">
        <v>96.9</v>
      </c>
      <c r="E47">
        <v>18.78</v>
      </c>
      <c r="F47">
        <v>2.3454583000000002</v>
      </c>
      <c r="G47">
        <v>1.7</v>
      </c>
      <c r="H47">
        <v>0.66181650000000003</v>
      </c>
      <c r="K47">
        <v>26.420945725576843</v>
      </c>
      <c r="L47">
        <v>27.334922024453721</v>
      </c>
      <c r="M47">
        <v>30.601056191241568</v>
      </c>
    </row>
    <row r="48" spans="1:13" x14ac:dyDescent="0.45">
      <c r="A48">
        <v>13.2</v>
      </c>
      <c r="B48">
        <v>0.5</v>
      </c>
      <c r="C48">
        <v>2.99</v>
      </c>
      <c r="D48">
        <v>148.84</v>
      </c>
      <c r="E48">
        <v>42.53</v>
      </c>
      <c r="F48">
        <v>0</v>
      </c>
      <c r="G48">
        <v>5.79</v>
      </c>
      <c r="H48">
        <v>16.813400000000001</v>
      </c>
      <c r="K48">
        <v>51.699478621356398</v>
      </c>
      <c r="L48">
        <v>48.570211324420448</v>
      </c>
      <c r="M48">
        <v>34.889763617024649</v>
      </c>
    </row>
    <row r="49" spans="1:13" x14ac:dyDescent="0.45">
      <c r="A49">
        <v>61.2</v>
      </c>
      <c r="B49">
        <v>0</v>
      </c>
      <c r="C49">
        <v>14.36</v>
      </c>
      <c r="D49">
        <v>230.57</v>
      </c>
      <c r="E49">
        <v>19.23</v>
      </c>
      <c r="F49">
        <v>1.2581781000000001</v>
      </c>
      <c r="G49">
        <v>2.2799999999999998</v>
      </c>
      <c r="H49">
        <v>0.66965209999999997</v>
      </c>
      <c r="K49">
        <v>14.902565526922555</v>
      </c>
      <c r="L49">
        <v>14.406578830489654</v>
      </c>
      <c r="M49">
        <v>17.657913980286018</v>
      </c>
    </row>
    <row r="50" spans="1:13" x14ac:dyDescent="0.45">
      <c r="A50">
        <v>35.1</v>
      </c>
      <c r="B50">
        <v>1.9</v>
      </c>
      <c r="C50">
        <v>4.66</v>
      </c>
      <c r="D50">
        <v>136.05000000000001</v>
      </c>
      <c r="E50">
        <v>20.8</v>
      </c>
      <c r="F50">
        <v>1.0245464</v>
      </c>
      <c r="G50">
        <v>6.78</v>
      </c>
      <c r="H50">
        <v>3.4972682000000002</v>
      </c>
      <c r="K50">
        <v>38.958610904639912</v>
      </c>
      <c r="L50">
        <v>37.476351499354791</v>
      </c>
      <c r="M50">
        <v>38.138651494088059</v>
      </c>
    </row>
    <row r="51" spans="1:13" x14ac:dyDescent="0.45">
      <c r="A51">
        <v>15.1</v>
      </c>
      <c r="B51">
        <v>3.3</v>
      </c>
      <c r="C51">
        <v>-3.72</v>
      </c>
      <c r="D51">
        <v>37.729999999999997</v>
      </c>
      <c r="E51">
        <v>-251.53</v>
      </c>
      <c r="F51">
        <v>2.5284450000000001</v>
      </c>
      <c r="G51">
        <v>2.2200000000000002</v>
      </c>
      <c r="H51">
        <v>3.6513659999999999</v>
      </c>
      <c r="K51">
        <v>16.020725437482852</v>
      </c>
      <c r="L51">
        <v>14.059659508809137</v>
      </c>
      <c r="M51">
        <v>11.482058922471985</v>
      </c>
    </row>
    <row r="52" spans="1:13" x14ac:dyDescent="0.45">
      <c r="A52">
        <v>6.2</v>
      </c>
      <c r="B52">
        <v>0.9</v>
      </c>
      <c r="C52">
        <v>1.95</v>
      </c>
      <c r="D52">
        <v>38.21</v>
      </c>
      <c r="E52">
        <v>15.6</v>
      </c>
      <c r="F52">
        <v>3.8765619999999998</v>
      </c>
      <c r="G52">
        <v>4.6900000000000004</v>
      </c>
      <c r="H52">
        <v>6.187621</v>
      </c>
      <c r="K52">
        <v>10.207454014681623</v>
      </c>
      <c r="L52">
        <v>14.049411883204183</v>
      </c>
      <c r="M52">
        <v>11.216200589991919</v>
      </c>
    </row>
    <row r="53" spans="1:13" x14ac:dyDescent="0.45">
      <c r="A53">
        <v>809.5</v>
      </c>
      <c r="B53">
        <v>79.400000000000006</v>
      </c>
      <c r="C53">
        <v>9.1999999999999993</v>
      </c>
      <c r="D53">
        <v>155.15</v>
      </c>
      <c r="E53">
        <v>16.86</v>
      </c>
      <c r="F53">
        <v>1.5795412</v>
      </c>
      <c r="G53">
        <v>5.66</v>
      </c>
      <c r="H53">
        <v>3.4586093</v>
      </c>
      <c r="K53">
        <v>788.21011997483299</v>
      </c>
      <c r="L53">
        <v>782.23230111098496</v>
      </c>
      <c r="M53">
        <v>780.00247009025918</v>
      </c>
    </row>
    <row r="54" spans="1:13" x14ac:dyDescent="0.45">
      <c r="A54">
        <v>51.3</v>
      </c>
      <c r="B54">
        <v>4.3</v>
      </c>
      <c r="C54">
        <v>3.17</v>
      </c>
      <c r="D54">
        <v>45.75</v>
      </c>
      <c r="E54">
        <v>14.08</v>
      </c>
      <c r="F54">
        <v>0.82152389999999997</v>
      </c>
      <c r="G54">
        <v>5.44</v>
      </c>
      <c r="H54">
        <v>4.7020153999999996</v>
      </c>
      <c r="K54">
        <v>46.690827287889825</v>
      </c>
      <c r="L54">
        <v>43.999445533582936</v>
      </c>
      <c r="M54">
        <v>42.60104361729541</v>
      </c>
    </row>
    <row r="55" spans="1:13" x14ac:dyDescent="0.45">
      <c r="A55">
        <v>24.9</v>
      </c>
      <c r="B55">
        <v>2.4</v>
      </c>
      <c r="C55">
        <v>5.05</v>
      </c>
      <c r="D55">
        <v>89.27</v>
      </c>
      <c r="E55">
        <v>69.739999999999995</v>
      </c>
      <c r="F55">
        <v>0.93926779999999999</v>
      </c>
      <c r="G55">
        <v>7.56</v>
      </c>
      <c r="H55">
        <v>1.5025797999999999</v>
      </c>
      <c r="K55">
        <v>36.015958792934441</v>
      </c>
      <c r="L55">
        <v>34.559297573972877</v>
      </c>
      <c r="M55">
        <v>37.618399952435709</v>
      </c>
    </row>
    <row r="56" spans="1:13" x14ac:dyDescent="0.45">
      <c r="A56">
        <v>23.6</v>
      </c>
      <c r="B56">
        <v>2.9</v>
      </c>
      <c r="C56">
        <v>2.17</v>
      </c>
      <c r="D56">
        <v>41.35</v>
      </c>
      <c r="E56">
        <v>17.45</v>
      </c>
      <c r="F56">
        <v>3.1761081</v>
      </c>
      <c r="G56">
        <v>1.29</v>
      </c>
      <c r="H56">
        <v>0.52478915000000004</v>
      </c>
      <c r="K56">
        <v>25.168005860052645</v>
      </c>
      <c r="L56">
        <v>27.496769060184278</v>
      </c>
      <c r="M56">
        <v>31.005120287801592</v>
      </c>
    </row>
    <row r="57" spans="1:13" x14ac:dyDescent="0.45">
      <c r="A57">
        <v>12</v>
      </c>
      <c r="B57">
        <v>0.9</v>
      </c>
      <c r="C57">
        <v>2.54</v>
      </c>
      <c r="D57">
        <v>64.400000000000006</v>
      </c>
      <c r="E57">
        <v>21.05</v>
      </c>
      <c r="F57">
        <v>2.4807138000000002</v>
      </c>
      <c r="G57">
        <v>2.92</v>
      </c>
      <c r="H57">
        <v>1.9400215000000001</v>
      </c>
      <c r="K57">
        <v>13.37115198616263</v>
      </c>
      <c r="L57">
        <v>14.580801673882471</v>
      </c>
      <c r="M57">
        <v>16.740346610419699</v>
      </c>
    </row>
    <row r="58" spans="1:13" x14ac:dyDescent="0.45">
      <c r="A58">
        <v>4.7</v>
      </c>
      <c r="B58">
        <v>0</v>
      </c>
      <c r="C58">
        <v>9.08</v>
      </c>
      <c r="D58">
        <v>85.16</v>
      </c>
      <c r="E58">
        <v>33.270000000000003</v>
      </c>
      <c r="F58">
        <v>2.5313593999999999</v>
      </c>
      <c r="G58">
        <v>1.1200000000000001</v>
      </c>
      <c r="H58">
        <v>0.98218660000000002</v>
      </c>
      <c r="K58">
        <v>-5.9138813820536118</v>
      </c>
      <c r="L58">
        <v>-4.4280400954384769</v>
      </c>
      <c r="M58">
        <v>-1.8008378845834718</v>
      </c>
    </row>
    <row r="59" spans="1:13" x14ac:dyDescent="0.45">
      <c r="A59">
        <v>226.7</v>
      </c>
      <c r="B59">
        <v>49.7</v>
      </c>
      <c r="C59">
        <v>4.76</v>
      </c>
      <c r="D59">
        <v>35.57</v>
      </c>
      <c r="E59">
        <v>12.14</v>
      </c>
      <c r="F59">
        <v>5.4156513000000004</v>
      </c>
      <c r="G59">
        <v>1.8</v>
      </c>
      <c r="H59">
        <v>1.4083152000000001</v>
      </c>
      <c r="K59">
        <v>470.8794329360058</v>
      </c>
      <c r="L59">
        <v>474.25697680124824</v>
      </c>
      <c r="M59">
        <v>474.83511196321467</v>
      </c>
    </row>
    <row r="60" spans="1:13" x14ac:dyDescent="0.45">
      <c r="A60">
        <v>24.3</v>
      </c>
      <c r="B60">
        <v>-0.4</v>
      </c>
      <c r="C60">
        <v>-2.61</v>
      </c>
      <c r="D60">
        <v>104.81</v>
      </c>
      <c r="E60">
        <v>-77.069999999999993</v>
      </c>
      <c r="F60">
        <v>0</v>
      </c>
      <c r="G60">
        <v>224.13</v>
      </c>
      <c r="H60">
        <v>16.506820000000001</v>
      </c>
      <c r="K60">
        <v>33.717473845177743</v>
      </c>
      <c r="L60">
        <v>27.533249531509838</v>
      </c>
      <c r="M60">
        <v>13.175856373160416</v>
      </c>
    </row>
    <row r="61" spans="1:13" x14ac:dyDescent="0.45">
      <c r="A61">
        <v>50.3</v>
      </c>
      <c r="B61">
        <v>2.8</v>
      </c>
      <c r="C61">
        <v>3.85</v>
      </c>
      <c r="D61">
        <v>108.25</v>
      </c>
      <c r="E61">
        <v>29.34</v>
      </c>
      <c r="F61">
        <v>2.2190911999999998</v>
      </c>
      <c r="G61">
        <v>12.86</v>
      </c>
      <c r="H61">
        <v>4.0483294000000001</v>
      </c>
      <c r="K61">
        <v>42.624456143648494</v>
      </c>
      <c r="L61">
        <v>43.425140174967552</v>
      </c>
      <c r="M61">
        <v>43.430770730014501</v>
      </c>
    </row>
    <row r="62" spans="1:13" x14ac:dyDescent="0.45">
      <c r="A62">
        <v>19.899999999999999</v>
      </c>
      <c r="B62">
        <v>2.2999999999999998</v>
      </c>
      <c r="C62">
        <v>44.09</v>
      </c>
      <c r="D62">
        <v>718.57</v>
      </c>
      <c r="E62">
        <v>16.309999999999999</v>
      </c>
      <c r="F62">
        <v>0</v>
      </c>
      <c r="G62">
        <v>136.22999999999999</v>
      </c>
      <c r="H62">
        <v>1.8510428999999999</v>
      </c>
      <c r="K62">
        <v>81.434156609931065</v>
      </c>
      <c r="L62">
        <v>79.511847019871681</v>
      </c>
      <c r="M62">
        <v>81.048463465087494</v>
      </c>
    </row>
    <row r="63" spans="1:13" x14ac:dyDescent="0.45">
      <c r="A63">
        <v>21.9</v>
      </c>
      <c r="B63">
        <v>1.3</v>
      </c>
      <c r="C63">
        <v>6.36</v>
      </c>
      <c r="D63">
        <v>154.94</v>
      </c>
      <c r="E63">
        <v>17.97</v>
      </c>
      <c r="F63">
        <v>3.7149355000000002</v>
      </c>
      <c r="G63">
        <v>2.12</v>
      </c>
      <c r="H63">
        <v>10.251215999999999</v>
      </c>
      <c r="K63">
        <v>35.071151377535294</v>
      </c>
      <c r="L63">
        <v>39.230810558235866</v>
      </c>
      <c r="M63">
        <v>32.167800367780693</v>
      </c>
    </row>
    <row r="64" spans="1:13" x14ac:dyDescent="0.45">
      <c r="A64">
        <v>10.1</v>
      </c>
      <c r="B64">
        <v>0.8</v>
      </c>
      <c r="C64">
        <v>3.11</v>
      </c>
      <c r="D64">
        <v>110.77</v>
      </c>
      <c r="E64">
        <v>22.11</v>
      </c>
      <c r="F64">
        <v>1.5682175</v>
      </c>
      <c r="G64">
        <v>8.83</v>
      </c>
      <c r="H64">
        <v>1.5206499</v>
      </c>
      <c r="K64">
        <v>23.003762791972779</v>
      </c>
      <c r="L64">
        <v>22.60039097827854</v>
      </c>
      <c r="M64">
        <v>25.557518382281728</v>
      </c>
    </row>
    <row r="65" spans="1:13" x14ac:dyDescent="0.45">
      <c r="A65">
        <v>33</v>
      </c>
      <c r="B65">
        <v>0.3</v>
      </c>
      <c r="C65">
        <v>-0.31</v>
      </c>
      <c r="D65">
        <v>27.5</v>
      </c>
      <c r="E65">
        <v>305.56</v>
      </c>
      <c r="F65">
        <v>2.4991322</v>
      </c>
      <c r="G65">
        <v>2.25</v>
      </c>
      <c r="H65">
        <v>1.9390045</v>
      </c>
      <c r="K65">
        <v>38.612299358620547</v>
      </c>
      <c r="L65">
        <v>42.979997428247685</v>
      </c>
      <c r="M65">
        <v>48.855878100886095</v>
      </c>
    </row>
    <row r="66" spans="1:13" x14ac:dyDescent="0.45">
      <c r="A66">
        <v>13.8</v>
      </c>
      <c r="B66">
        <v>1.3</v>
      </c>
      <c r="C66">
        <v>0.85</v>
      </c>
      <c r="D66">
        <v>38.44</v>
      </c>
      <c r="E66">
        <v>20.56</v>
      </c>
      <c r="F66">
        <v>1.0170353999999999</v>
      </c>
      <c r="G66">
        <v>3.62</v>
      </c>
      <c r="H66">
        <v>1.5696399000000001</v>
      </c>
      <c r="K66">
        <v>17.975040767549828</v>
      </c>
      <c r="L66">
        <v>16.01288605720325</v>
      </c>
      <c r="M66">
        <v>18.602378082865464</v>
      </c>
    </row>
    <row r="67" spans="1:13" x14ac:dyDescent="0.45">
      <c r="A67">
        <v>321.5</v>
      </c>
      <c r="B67">
        <v>0</v>
      </c>
      <c r="C67">
        <v>1.55</v>
      </c>
      <c r="D67">
        <v>29.74</v>
      </c>
      <c r="E67">
        <v>16.34</v>
      </c>
      <c r="F67">
        <v>1.536</v>
      </c>
      <c r="G67">
        <v>1.24</v>
      </c>
      <c r="H67">
        <v>3.2011873999999998</v>
      </c>
      <c r="K67">
        <v>1.9555818774093032</v>
      </c>
      <c r="L67">
        <v>1.0447038552872079</v>
      </c>
      <c r="M67">
        <v>1.6035451766950923</v>
      </c>
    </row>
    <row r="68" spans="1:13" x14ac:dyDescent="0.45">
      <c r="A68">
        <v>35.700000000000003</v>
      </c>
      <c r="B68">
        <v>1.8</v>
      </c>
      <c r="C68">
        <v>1.29</v>
      </c>
      <c r="D68">
        <v>62.56</v>
      </c>
      <c r="E68">
        <v>25.12</v>
      </c>
      <c r="F68">
        <v>0.97635393999999998</v>
      </c>
      <c r="G68">
        <v>3.77</v>
      </c>
      <c r="H68">
        <v>3.4394414000000002</v>
      </c>
      <c r="K68">
        <v>29.947994856498706</v>
      </c>
      <c r="L68">
        <v>28.058721328632245</v>
      </c>
      <c r="M68">
        <v>28.721010421672695</v>
      </c>
    </row>
    <row r="69" spans="1:13" x14ac:dyDescent="0.45">
      <c r="A69">
        <v>42.1</v>
      </c>
      <c r="B69">
        <v>0</v>
      </c>
      <c r="C69">
        <v>2.74</v>
      </c>
      <c r="D69">
        <v>51.07</v>
      </c>
      <c r="E69">
        <v>16.260000000000002</v>
      </c>
      <c r="F69">
        <v>2.4526197999999999</v>
      </c>
      <c r="G69">
        <v>1.55</v>
      </c>
      <c r="H69">
        <v>3.4552106999999999</v>
      </c>
      <c r="K69">
        <v>2.3326054297900973</v>
      </c>
      <c r="L69">
        <v>3.4094553153236786</v>
      </c>
      <c r="M69">
        <v>3.6850480300213571</v>
      </c>
    </row>
    <row r="70" spans="1:13" x14ac:dyDescent="0.45">
      <c r="A70">
        <v>50.9</v>
      </c>
      <c r="B70">
        <v>1.5</v>
      </c>
      <c r="C70">
        <v>4.6500000000000004</v>
      </c>
      <c r="D70">
        <v>211.44</v>
      </c>
      <c r="E70">
        <v>22.28</v>
      </c>
      <c r="F70">
        <v>1.3518384999999999</v>
      </c>
      <c r="G70">
        <v>3.98</v>
      </c>
      <c r="H70">
        <v>5.6912947000000003</v>
      </c>
      <c r="K70">
        <v>53.901049326226286</v>
      </c>
      <c r="L70">
        <v>53.648108295184315</v>
      </c>
      <c r="M70">
        <v>52.507387049661865</v>
      </c>
    </row>
    <row r="71" spans="1:13" x14ac:dyDescent="0.45">
      <c r="A71">
        <v>261.39999999999998</v>
      </c>
      <c r="B71">
        <v>0</v>
      </c>
      <c r="C71">
        <v>9.76</v>
      </c>
      <c r="D71">
        <v>191.42</v>
      </c>
      <c r="E71">
        <v>30.43</v>
      </c>
      <c r="F71">
        <v>0</v>
      </c>
      <c r="G71">
        <v>1.58</v>
      </c>
      <c r="H71">
        <v>1.4328232000000001</v>
      </c>
      <c r="K71">
        <v>21.664596806175609</v>
      </c>
      <c r="L71">
        <v>18.584546713946963</v>
      </c>
      <c r="M71">
        <v>21.467066916541924</v>
      </c>
    </row>
    <row r="72" spans="1:13" x14ac:dyDescent="0.45">
      <c r="A72">
        <v>20.8</v>
      </c>
      <c r="B72">
        <v>2.6</v>
      </c>
      <c r="C72">
        <v>3.81</v>
      </c>
      <c r="D72">
        <v>68.790000000000006</v>
      </c>
      <c r="E72">
        <v>19.22</v>
      </c>
      <c r="F72">
        <v>1.9085041</v>
      </c>
      <c r="G72">
        <v>4.79</v>
      </c>
      <c r="H72">
        <v>0.76715522999999997</v>
      </c>
      <c r="K72">
        <v>27.640861913664359</v>
      </c>
      <c r="L72">
        <v>27.511619276974852</v>
      </c>
      <c r="M72">
        <v>30.767401483274057</v>
      </c>
    </row>
    <row r="73" spans="1:13" x14ac:dyDescent="0.45">
      <c r="A73">
        <v>69.2</v>
      </c>
      <c r="B73">
        <v>6.5</v>
      </c>
      <c r="C73">
        <v>11.94</v>
      </c>
      <c r="D73">
        <v>311.79000000000002</v>
      </c>
      <c r="E73">
        <v>14.3</v>
      </c>
      <c r="F73">
        <v>0</v>
      </c>
      <c r="G73">
        <v>5.51</v>
      </c>
      <c r="H73">
        <v>5.7374390000000002</v>
      </c>
      <c r="K73">
        <v>110.04016417037209</v>
      </c>
      <c r="L73">
        <v>106.99656356987101</v>
      </c>
      <c r="M73">
        <v>105.31893181744451</v>
      </c>
    </row>
    <row r="74" spans="1:13" x14ac:dyDescent="0.45">
      <c r="A74">
        <v>85.9</v>
      </c>
      <c r="B74">
        <v>5.7</v>
      </c>
      <c r="C74">
        <v>30.3</v>
      </c>
      <c r="D74">
        <v>509.38</v>
      </c>
      <c r="E74">
        <v>22.49</v>
      </c>
      <c r="F74">
        <v>2.1643558000000001</v>
      </c>
      <c r="G74">
        <v>2.95</v>
      </c>
      <c r="H74">
        <v>6.9158195999999998</v>
      </c>
      <c r="K74">
        <v>101.17526935415007</v>
      </c>
      <c r="L74">
        <v>103.53020583764122</v>
      </c>
      <c r="M74">
        <v>99.602473047748049</v>
      </c>
    </row>
    <row r="75" spans="1:13" x14ac:dyDescent="0.45">
      <c r="A75">
        <v>5.4</v>
      </c>
      <c r="B75">
        <v>0.9</v>
      </c>
      <c r="C75">
        <v>1.92</v>
      </c>
      <c r="D75">
        <v>25.19</v>
      </c>
      <c r="E75">
        <v>12.29</v>
      </c>
      <c r="F75">
        <v>3.7296038</v>
      </c>
      <c r="G75">
        <v>205.41</v>
      </c>
      <c r="H75">
        <v>2.0188456000000001</v>
      </c>
      <c r="K75">
        <v>4.0746982457630665</v>
      </c>
      <c r="L75">
        <v>6.0022903101819871</v>
      </c>
      <c r="M75">
        <v>7.7223219167998742</v>
      </c>
    </row>
    <row r="76" spans="1:13" x14ac:dyDescent="0.45">
      <c r="A76">
        <v>205.6</v>
      </c>
      <c r="B76">
        <v>12.5</v>
      </c>
      <c r="C76">
        <v>13.47</v>
      </c>
      <c r="D76">
        <v>329.66</v>
      </c>
      <c r="E76">
        <v>27.29</v>
      </c>
      <c r="F76">
        <v>1.9648397</v>
      </c>
      <c r="G76">
        <v>182.86</v>
      </c>
      <c r="H76">
        <v>2.1560605000000002</v>
      </c>
      <c r="K76">
        <v>163.80932656929679</v>
      </c>
      <c r="L76">
        <v>163.27814557958163</v>
      </c>
      <c r="M76">
        <v>165.54335799416486</v>
      </c>
    </row>
    <row r="77" spans="1:13" x14ac:dyDescent="0.45">
      <c r="A77">
        <v>11.6</v>
      </c>
      <c r="B77">
        <v>0.9</v>
      </c>
      <c r="C77">
        <v>0.55000000000000004</v>
      </c>
      <c r="D77">
        <v>51.94</v>
      </c>
      <c r="E77">
        <v>14.15</v>
      </c>
      <c r="F77">
        <v>1.2363636</v>
      </c>
      <c r="G77">
        <v>2.89</v>
      </c>
      <c r="H77">
        <v>1.5831375999999999</v>
      </c>
      <c r="K77">
        <v>16.613302111936644</v>
      </c>
      <c r="L77">
        <v>15.160464968042243</v>
      </c>
      <c r="M77">
        <v>17.825031785171497</v>
      </c>
    </row>
    <row r="78" spans="1:13" x14ac:dyDescent="0.45">
      <c r="A78">
        <v>17.8</v>
      </c>
      <c r="B78">
        <v>1.5</v>
      </c>
      <c r="C78">
        <v>2.93</v>
      </c>
      <c r="D78">
        <v>112.09</v>
      </c>
      <c r="E78">
        <v>18.05</v>
      </c>
      <c r="F78">
        <v>2.7744062</v>
      </c>
      <c r="G78">
        <v>3.15</v>
      </c>
      <c r="H78">
        <v>6.8394589999999997</v>
      </c>
      <c r="K78">
        <v>33.57939177520025</v>
      </c>
      <c r="L78">
        <v>35.605663882505695</v>
      </c>
      <c r="M78">
        <v>32.530418272405718</v>
      </c>
    </row>
    <row r="79" spans="1:13" x14ac:dyDescent="0.45">
      <c r="A79">
        <v>36.1</v>
      </c>
      <c r="B79">
        <v>1.7</v>
      </c>
      <c r="C79">
        <v>7.0000000000000007E-2</v>
      </c>
      <c r="D79">
        <v>25.2</v>
      </c>
      <c r="E79">
        <v>20</v>
      </c>
      <c r="F79">
        <v>0</v>
      </c>
      <c r="G79">
        <v>4.78</v>
      </c>
      <c r="H79">
        <v>4.0556850000000004</v>
      </c>
      <c r="K79">
        <v>25.594261269935437</v>
      </c>
      <c r="L79">
        <v>21.42687621504108</v>
      </c>
      <c r="M79">
        <v>21.197250001705061</v>
      </c>
    </row>
    <row r="80" spans="1:13" x14ac:dyDescent="0.45">
      <c r="A80">
        <v>7.1</v>
      </c>
      <c r="B80">
        <v>0</v>
      </c>
      <c r="C80">
        <v>-24.62</v>
      </c>
      <c r="D80">
        <v>55.44</v>
      </c>
      <c r="E80">
        <v>22.63</v>
      </c>
      <c r="F80">
        <v>0</v>
      </c>
      <c r="G80">
        <v>0.51</v>
      </c>
      <c r="H80">
        <v>1.4188358000000001</v>
      </c>
      <c r="K80">
        <v>70.966491336763085</v>
      </c>
      <c r="L80">
        <v>67.877995016280778</v>
      </c>
      <c r="M80">
        <v>74.624759180734529</v>
      </c>
    </row>
    <row r="81" spans="1:13" x14ac:dyDescent="0.45">
      <c r="A81">
        <v>102.5</v>
      </c>
      <c r="B81">
        <v>5.2</v>
      </c>
      <c r="C81">
        <v>2.65</v>
      </c>
      <c r="D81">
        <v>62.69</v>
      </c>
      <c r="E81">
        <v>20.83</v>
      </c>
      <c r="F81">
        <v>2.5546863000000002</v>
      </c>
      <c r="G81">
        <v>6.75</v>
      </c>
      <c r="H81">
        <v>6.5032310000000004</v>
      </c>
      <c r="K81">
        <v>59.7525089913158</v>
      </c>
      <c r="L81">
        <v>60.749411448081219</v>
      </c>
      <c r="M81">
        <v>57.598048946922532</v>
      </c>
    </row>
    <row r="82" spans="1:13" x14ac:dyDescent="0.45">
      <c r="A82">
        <v>92.8</v>
      </c>
      <c r="B82">
        <v>7</v>
      </c>
      <c r="C82">
        <v>4.01</v>
      </c>
      <c r="D82">
        <v>229.57</v>
      </c>
      <c r="E82">
        <v>15.94</v>
      </c>
      <c r="F82">
        <v>2.9488582999999999</v>
      </c>
      <c r="G82">
        <v>4.4000000000000004</v>
      </c>
      <c r="H82">
        <v>6.9618929999999999</v>
      </c>
      <c r="K82">
        <v>110.62702615173883</v>
      </c>
      <c r="L82">
        <v>113.32012944332848</v>
      </c>
      <c r="M82">
        <v>110.74669941052579</v>
      </c>
    </row>
    <row r="83" spans="1:13" x14ac:dyDescent="0.45">
      <c r="A83">
        <v>5.5</v>
      </c>
      <c r="B83">
        <v>1.1000000000000001</v>
      </c>
      <c r="C83">
        <v>1.7</v>
      </c>
      <c r="D83">
        <v>63.33</v>
      </c>
      <c r="E83">
        <v>37.04</v>
      </c>
      <c r="F83">
        <v>1.1216964</v>
      </c>
      <c r="G83">
        <v>12.36</v>
      </c>
      <c r="H83">
        <v>1.8411398000000001</v>
      </c>
      <c r="K83">
        <v>21.64924498523375</v>
      </c>
      <c r="L83">
        <v>20.177483873766906</v>
      </c>
      <c r="M83">
        <v>22.759493659266901</v>
      </c>
    </row>
    <row r="84" spans="1:13" x14ac:dyDescent="0.45">
      <c r="A84">
        <v>12.9</v>
      </c>
      <c r="B84">
        <v>0.9</v>
      </c>
      <c r="C84">
        <v>3.57</v>
      </c>
      <c r="D84">
        <v>90.47</v>
      </c>
      <c r="E84">
        <v>26</v>
      </c>
      <c r="F84">
        <v>1.9876849999999999</v>
      </c>
      <c r="G84">
        <v>9.31</v>
      </c>
      <c r="H84">
        <v>0.85282736999999997</v>
      </c>
      <c r="K84">
        <v>17.192323426533438</v>
      </c>
      <c r="L84">
        <v>17.540544623157295</v>
      </c>
      <c r="M84">
        <v>21.05652235320882</v>
      </c>
    </row>
    <row r="85" spans="1:13" x14ac:dyDescent="0.45">
      <c r="A85">
        <v>14.2</v>
      </c>
      <c r="B85">
        <v>1.6</v>
      </c>
      <c r="C85">
        <v>1.85</v>
      </c>
      <c r="D85">
        <v>32.659999999999997</v>
      </c>
      <c r="E85">
        <v>14.32</v>
      </c>
      <c r="F85">
        <v>3</v>
      </c>
      <c r="G85">
        <v>2.44</v>
      </c>
      <c r="H85">
        <v>3.3742424999999998</v>
      </c>
      <c r="K85">
        <v>14.500624731889532</v>
      </c>
      <c r="L85">
        <v>16.463475136123012</v>
      </c>
      <c r="M85">
        <v>16.732930865781729</v>
      </c>
    </row>
    <row r="86" spans="1:13" x14ac:dyDescent="0.45">
      <c r="A86">
        <v>10.8</v>
      </c>
      <c r="B86">
        <v>0.4</v>
      </c>
      <c r="C86">
        <v>-0.92</v>
      </c>
      <c r="D86">
        <v>23.01</v>
      </c>
      <c r="E86">
        <v>60.55</v>
      </c>
      <c r="F86">
        <v>1.0269576</v>
      </c>
      <c r="G86">
        <v>4.21</v>
      </c>
      <c r="H86">
        <v>8.6367290000000008</v>
      </c>
      <c r="K86">
        <v>22.445841080629375</v>
      </c>
      <c r="L86">
        <v>20.953983327868507</v>
      </c>
      <c r="M86">
        <v>16.23796006263386</v>
      </c>
    </row>
    <row r="87" spans="1:13" x14ac:dyDescent="0.45">
      <c r="A87">
        <v>10.9</v>
      </c>
      <c r="B87">
        <v>0.5</v>
      </c>
      <c r="C87">
        <v>0.74</v>
      </c>
      <c r="D87">
        <v>36.82</v>
      </c>
      <c r="E87">
        <v>34.090000000000003</v>
      </c>
      <c r="F87">
        <v>0</v>
      </c>
      <c r="G87">
        <v>10.98</v>
      </c>
      <c r="H87">
        <v>5.7517370000000003</v>
      </c>
      <c r="K87">
        <v>18.480075297320695</v>
      </c>
      <c r="L87">
        <v>14.567259245608589</v>
      </c>
      <c r="M87">
        <v>12.638586628366099</v>
      </c>
    </row>
    <row r="88" spans="1:13" x14ac:dyDescent="0.45">
      <c r="A88">
        <v>13.5</v>
      </c>
      <c r="B88">
        <v>1.7</v>
      </c>
      <c r="C88">
        <v>2.89</v>
      </c>
      <c r="D88">
        <v>44.83</v>
      </c>
      <c r="E88">
        <v>14.84</v>
      </c>
      <c r="F88">
        <v>3.125</v>
      </c>
      <c r="G88">
        <v>7.91</v>
      </c>
      <c r="H88">
        <v>2.3898202999999998</v>
      </c>
      <c r="K88">
        <v>14.493229958838487</v>
      </c>
      <c r="L88">
        <v>16.723490975649344</v>
      </c>
      <c r="M88">
        <v>18.055351694541944</v>
      </c>
    </row>
    <row r="89" spans="1:13" x14ac:dyDescent="0.45">
      <c r="A89">
        <v>47.6</v>
      </c>
      <c r="B89">
        <v>0</v>
      </c>
      <c r="C89">
        <v>3.45</v>
      </c>
      <c r="D89">
        <v>91.8</v>
      </c>
      <c r="E89">
        <v>11.85</v>
      </c>
      <c r="F89">
        <v>1.6306563999999999</v>
      </c>
      <c r="G89">
        <v>0.94</v>
      </c>
      <c r="H89">
        <v>1.5931405000000001</v>
      </c>
      <c r="K89">
        <v>8.8580476020264207</v>
      </c>
      <c r="L89">
        <v>8.4493019108442411</v>
      </c>
      <c r="M89">
        <v>11.008738633900508</v>
      </c>
    </row>
    <row r="90" spans="1:13" x14ac:dyDescent="0.45">
      <c r="A90">
        <v>20.5</v>
      </c>
      <c r="B90">
        <v>1.9</v>
      </c>
      <c r="C90">
        <v>4.04</v>
      </c>
      <c r="D90">
        <v>66.63</v>
      </c>
      <c r="E90">
        <v>12.29</v>
      </c>
      <c r="F90">
        <v>2.8394227000000001</v>
      </c>
      <c r="G90">
        <v>3.03</v>
      </c>
      <c r="H90">
        <v>0.21131156000000001</v>
      </c>
      <c r="K90">
        <v>16.425442564316274</v>
      </c>
      <c r="L90">
        <v>18.176158864972436</v>
      </c>
      <c r="M90">
        <v>21.940400531905635</v>
      </c>
    </row>
    <row r="91" spans="1:13" x14ac:dyDescent="0.45">
      <c r="A91">
        <v>11.8</v>
      </c>
      <c r="B91">
        <v>1.3</v>
      </c>
      <c r="C91">
        <v>3.97</v>
      </c>
      <c r="D91">
        <v>64.34</v>
      </c>
      <c r="E91">
        <v>19.440000000000001</v>
      </c>
      <c r="F91">
        <v>0</v>
      </c>
      <c r="G91">
        <v>3.55</v>
      </c>
      <c r="H91">
        <v>0.6913859</v>
      </c>
      <c r="K91">
        <v>17.422347965264731</v>
      </c>
      <c r="L91">
        <v>13.440299398160363</v>
      </c>
      <c r="M91">
        <v>16.762701574535139</v>
      </c>
    </row>
    <row r="92" spans="1:13" x14ac:dyDescent="0.45">
      <c r="A92">
        <v>49.2</v>
      </c>
      <c r="B92">
        <v>4.7</v>
      </c>
      <c r="C92">
        <v>3.58</v>
      </c>
      <c r="D92">
        <v>66.760000000000005</v>
      </c>
      <c r="E92">
        <v>17.48</v>
      </c>
      <c r="F92">
        <v>2.6041666999999999</v>
      </c>
      <c r="G92">
        <v>2</v>
      </c>
      <c r="H92">
        <v>2.8147783</v>
      </c>
      <c r="K92">
        <v>48.907113380056174</v>
      </c>
      <c r="L92">
        <v>50.047069802636983</v>
      </c>
      <c r="M92">
        <v>50.924538077650006</v>
      </c>
    </row>
    <row r="93" spans="1:13" x14ac:dyDescent="0.45">
      <c r="A93">
        <v>91.8</v>
      </c>
      <c r="B93">
        <v>8.1</v>
      </c>
      <c r="C93">
        <v>1.26</v>
      </c>
      <c r="D93">
        <v>145.99</v>
      </c>
      <c r="E93">
        <v>21.22</v>
      </c>
      <c r="F93">
        <v>2.0215108000000002</v>
      </c>
      <c r="G93">
        <v>5.75</v>
      </c>
      <c r="H93">
        <v>2.0468427999999999</v>
      </c>
      <c r="K93">
        <v>106.0936061380318</v>
      </c>
      <c r="L93">
        <v>106.38935443029702</v>
      </c>
      <c r="M93">
        <v>109.09095269501699</v>
      </c>
    </row>
    <row r="94" spans="1:13" x14ac:dyDescent="0.45">
      <c r="A94">
        <v>13</v>
      </c>
      <c r="B94">
        <v>0.5</v>
      </c>
      <c r="C94">
        <v>2.27</v>
      </c>
      <c r="D94">
        <v>111.15</v>
      </c>
      <c r="E94">
        <v>35.06</v>
      </c>
      <c r="F94">
        <v>0.94269630000000004</v>
      </c>
      <c r="G94">
        <v>5.15</v>
      </c>
      <c r="H94">
        <v>8.2490419999999993</v>
      </c>
      <c r="K94">
        <v>32.476583219726344</v>
      </c>
      <c r="L94">
        <v>30.996000130645729</v>
      </c>
      <c r="M94">
        <v>26.666270413893852</v>
      </c>
    </row>
    <row r="95" spans="1:13" x14ac:dyDescent="0.45">
      <c r="A95">
        <v>14.4</v>
      </c>
      <c r="B95">
        <v>1.7</v>
      </c>
      <c r="C95">
        <v>1.69</v>
      </c>
      <c r="D95">
        <v>41.92</v>
      </c>
      <c r="E95">
        <v>15.82</v>
      </c>
      <c r="F95">
        <v>0</v>
      </c>
      <c r="G95">
        <v>3.74</v>
      </c>
      <c r="H95">
        <v>1.4622321</v>
      </c>
      <c r="K95">
        <v>22.117814774525137</v>
      </c>
      <c r="L95">
        <v>17.979849917859131</v>
      </c>
      <c r="M95">
        <v>20.523350110725008</v>
      </c>
    </row>
    <row r="96" spans="1:13" x14ac:dyDescent="0.45">
      <c r="A96">
        <v>20.399999999999999</v>
      </c>
      <c r="B96">
        <v>2.8</v>
      </c>
      <c r="C96">
        <v>2.81</v>
      </c>
      <c r="D96">
        <v>51.8</v>
      </c>
      <c r="E96">
        <v>12.05</v>
      </c>
      <c r="F96">
        <v>1.3473054</v>
      </c>
      <c r="G96">
        <v>6.91</v>
      </c>
      <c r="H96">
        <v>2.1055017</v>
      </c>
      <c r="K96">
        <v>29.995767601876043</v>
      </c>
      <c r="L96">
        <v>28.514760378826097</v>
      </c>
      <c r="M96">
        <v>30.169256192175887</v>
      </c>
    </row>
    <row r="97" spans="1:13" x14ac:dyDescent="0.45">
      <c r="A97">
        <v>74.900000000000006</v>
      </c>
      <c r="B97">
        <v>5.2</v>
      </c>
      <c r="C97">
        <v>3.58</v>
      </c>
      <c r="D97">
        <v>91.02</v>
      </c>
      <c r="E97">
        <v>13.27</v>
      </c>
      <c r="F97">
        <v>0</v>
      </c>
      <c r="G97">
        <v>7.49</v>
      </c>
      <c r="H97">
        <v>5.8300710000000002</v>
      </c>
      <c r="K97">
        <v>67.54085601455759</v>
      </c>
      <c r="L97">
        <v>63.353128866890557</v>
      </c>
      <c r="M97">
        <v>60.967589631202124</v>
      </c>
    </row>
    <row r="98" spans="1:13" x14ac:dyDescent="0.45">
      <c r="A98">
        <v>18</v>
      </c>
      <c r="B98">
        <v>2.1</v>
      </c>
      <c r="C98">
        <v>3.23</v>
      </c>
      <c r="D98">
        <v>100.36</v>
      </c>
      <c r="E98">
        <v>19.12</v>
      </c>
      <c r="F98">
        <v>0</v>
      </c>
      <c r="G98">
        <v>2.58</v>
      </c>
      <c r="H98">
        <v>0.50286629999999999</v>
      </c>
      <c r="K98">
        <v>34.780049767599159</v>
      </c>
      <c r="L98">
        <v>31.000724066319414</v>
      </c>
      <c r="M98">
        <v>34.922025719908945</v>
      </c>
    </row>
    <row r="99" spans="1:13" x14ac:dyDescent="0.45">
      <c r="A99">
        <v>11.4</v>
      </c>
      <c r="B99">
        <v>2.2999999999999998</v>
      </c>
      <c r="C99">
        <v>1</v>
      </c>
      <c r="D99">
        <v>25.85</v>
      </c>
      <c r="E99">
        <v>19.73</v>
      </c>
      <c r="F99">
        <v>4.2109256000000004</v>
      </c>
      <c r="G99">
        <v>3.21</v>
      </c>
      <c r="H99">
        <v>1.6262616999999999</v>
      </c>
      <c r="K99">
        <v>17.973585961172322</v>
      </c>
      <c r="L99">
        <v>22.414597579178228</v>
      </c>
      <c r="M99">
        <v>24.770244679634526</v>
      </c>
    </row>
    <row r="100" spans="1:13" x14ac:dyDescent="0.45">
      <c r="A100">
        <v>18.2</v>
      </c>
      <c r="B100">
        <v>5.6</v>
      </c>
      <c r="C100">
        <v>1.1599999999999999</v>
      </c>
      <c r="D100">
        <v>16.2</v>
      </c>
      <c r="E100">
        <v>8.35</v>
      </c>
      <c r="F100">
        <v>12.661196</v>
      </c>
      <c r="G100">
        <v>1.39</v>
      </c>
      <c r="H100">
        <v>1.4795984</v>
      </c>
      <c r="K100">
        <v>28.816943878298307</v>
      </c>
      <c r="L100">
        <v>50.215162343436084</v>
      </c>
      <c r="M100">
        <v>52.38614452353859</v>
      </c>
    </row>
    <row r="101" spans="1:13" x14ac:dyDescent="0.45">
      <c r="A101">
        <v>21.1</v>
      </c>
      <c r="B101">
        <v>1.5</v>
      </c>
      <c r="C101">
        <v>1.84</v>
      </c>
      <c r="D101">
        <v>61.22</v>
      </c>
      <c r="E101">
        <v>27.09</v>
      </c>
      <c r="F101">
        <v>0</v>
      </c>
      <c r="G101">
        <v>4.62</v>
      </c>
      <c r="H101">
        <v>5.5560412000000001</v>
      </c>
      <c r="K101">
        <v>30.058107948354806</v>
      </c>
      <c r="L101">
        <v>26.170302383560063</v>
      </c>
      <c r="M101">
        <v>24.386970977140336</v>
      </c>
    </row>
    <row r="102" spans="1:13" x14ac:dyDescent="0.45">
      <c r="A102">
        <v>9.1999999999999993</v>
      </c>
      <c r="B102">
        <v>0.7</v>
      </c>
      <c r="C102">
        <v>-1.2</v>
      </c>
      <c r="D102">
        <v>37.46</v>
      </c>
      <c r="E102">
        <v>-59.46</v>
      </c>
      <c r="F102">
        <v>3.0395135999999998</v>
      </c>
      <c r="G102">
        <v>2.81</v>
      </c>
      <c r="H102">
        <v>3.0044447999999999</v>
      </c>
      <c r="K102">
        <v>4.9547779466655779</v>
      </c>
      <c r="L102">
        <v>6.3401228568782715</v>
      </c>
      <c r="M102">
        <v>6.6170146582479319</v>
      </c>
    </row>
    <row r="103" spans="1:13" x14ac:dyDescent="0.45">
      <c r="A103">
        <v>69.8</v>
      </c>
      <c r="B103">
        <v>0</v>
      </c>
      <c r="C103">
        <v>1.61</v>
      </c>
      <c r="D103">
        <v>48.9</v>
      </c>
      <c r="E103">
        <v>29.82</v>
      </c>
      <c r="F103">
        <v>0.76878725999999997</v>
      </c>
      <c r="G103">
        <v>4.51</v>
      </c>
      <c r="H103">
        <v>7.9496149999999997</v>
      </c>
      <c r="K103">
        <v>14.619221706474368</v>
      </c>
      <c r="L103">
        <v>12.373821204161779</v>
      </c>
      <c r="M103">
        <v>7.9015613622261123</v>
      </c>
    </row>
    <row r="104" spans="1:13" x14ac:dyDescent="0.45">
      <c r="A104">
        <v>86.7</v>
      </c>
      <c r="B104">
        <v>14.7</v>
      </c>
      <c r="C104">
        <v>34.08</v>
      </c>
      <c r="D104">
        <v>348.65</v>
      </c>
      <c r="E104">
        <v>162.91999999999999</v>
      </c>
      <c r="F104">
        <v>0</v>
      </c>
      <c r="G104">
        <v>2.27</v>
      </c>
      <c r="H104">
        <v>2.1208634000000002</v>
      </c>
      <c r="K104">
        <v>159.45611836576285</v>
      </c>
      <c r="L104">
        <v>157.16205083563227</v>
      </c>
      <c r="M104">
        <v>158.2137119450131</v>
      </c>
    </row>
    <row r="105" spans="1:13" x14ac:dyDescent="0.45">
      <c r="A105">
        <v>2.6</v>
      </c>
      <c r="B105">
        <v>1.5</v>
      </c>
      <c r="C105">
        <v>-6.44</v>
      </c>
      <c r="D105">
        <v>2.82</v>
      </c>
      <c r="E105">
        <v>4.7</v>
      </c>
      <c r="F105">
        <v>0</v>
      </c>
      <c r="G105">
        <v>1.84</v>
      </c>
      <c r="H105">
        <v>0.40765183999999999</v>
      </c>
      <c r="K105">
        <v>28.001521554578098</v>
      </c>
      <c r="L105">
        <v>23.73946158935977</v>
      </c>
      <c r="M105">
        <v>28.212570001515299</v>
      </c>
    </row>
    <row r="106" spans="1:13" x14ac:dyDescent="0.45">
      <c r="A106">
        <v>219</v>
      </c>
      <c r="B106">
        <v>28.9</v>
      </c>
      <c r="C106">
        <v>4.8499999999999996</v>
      </c>
      <c r="D106">
        <v>112.3</v>
      </c>
      <c r="E106">
        <v>27.52</v>
      </c>
      <c r="F106">
        <v>3.885853</v>
      </c>
      <c r="G106">
        <v>1.71</v>
      </c>
      <c r="H106">
        <v>1.6489863</v>
      </c>
      <c r="K106">
        <v>289.78467477897738</v>
      </c>
      <c r="L106">
        <v>292.19348352636734</v>
      </c>
      <c r="M106">
        <v>293.96804427732144</v>
      </c>
    </row>
    <row r="107" spans="1:13" x14ac:dyDescent="0.45">
      <c r="A107">
        <v>7.7</v>
      </c>
      <c r="B107">
        <v>0.4</v>
      </c>
      <c r="C107">
        <v>0.8</v>
      </c>
      <c r="D107">
        <v>266.01</v>
      </c>
      <c r="E107">
        <v>45.86</v>
      </c>
      <c r="F107">
        <v>0</v>
      </c>
      <c r="G107">
        <v>6.11</v>
      </c>
      <c r="H107">
        <v>2.5523853000000001</v>
      </c>
      <c r="K107">
        <v>66.360393678896386</v>
      </c>
      <c r="L107">
        <v>64.130012530765086</v>
      </c>
      <c r="M107">
        <v>67.892994423676399</v>
      </c>
    </row>
    <row r="108" spans="1:13" x14ac:dyDescent="0.45">
      <c r="A108">
        <v>68.400000000000006</v>
      </c>
      <c r="B108">
        <v>0</v>
      </c>
      <c r="C108">
        <v>8.1999999999999993</v>
      </c>
      <c r="D108">
        <v>140.38999999999999</v>
      </c>
      <c r="E108">
        <v>17.5</v>
      </c>
      <c r="F108">
        <v>1.9251627</v>
      </c>
      <c r="G108">
        <v>1.35</v>
      </c>
      <c r="H108">
        <v>2.0985637000000001</v>
      </c>
      <c r="K108">
        <v>9.2074008622599877</v>
      </c>
      <c r="L108">
        <v>9.6496531538220722</v>
      </c>
      <c r="M108">
        <v>11.417548538141979</v>
      </c>
    </row>
    <row r="109" spans="1:13" x14ac:dyDescent="0.45">
      <c r="A109">
        <v>11.8</v>
      </c>
      <c r="B109">
        <v>0.9</v>
      </c>
      <c r="C109">
        <v>2.92</v>
      </c>
      <c r="D109">
        <v>47.38</v>
      </c>
      <c r="E109">
        <v>24.42</v>
      </c>
      <c r="F109">
        <v>1.8366054000000001</v>
      </c>
      <c r="G109">
        <v>6.28</v>
      </c>
      <c r="H109">
        <v>3.1682448000000001</v>
      </c>
      <c r="K109">
        <v>11.795111441038465</v>
      </c>
      <c r="L109">
        <v>11.56885583957197</v>
      </c>
      <c r="M109">
        <v>12.185380897985443</v>
      </c>
    </row>
    <row r="110" spans="1:13" x14ac:dyDescent="0.45">
      <c r="A110">
        <v>47.7</v>
      </c>
      <c r="B110">
        <v>0</v>
      </c>
      <c r="C110">
        <v>7.2</v>
      </c>
      <c r="D110">
        <v>189.27</v>
      </c>
      <c r="E110">
        <v>18.11</v>
      </c>
      <c r="F110">
        <v>2.0466638999999998E-2</v>
      </c>
      <c r="G110">
        <v>3.39</v>
      </c>
      <c r="H110">
        <v>1.550762</v>
      </c>
      <c r="K110">
        <v>25.876994543045988</v>
      </c>
      <c r="L110">
        <v>22.74286286216747</v>
      </c>
      <c r="M110">
        <v>25.698523091677735</v>
      </c>
    </row>
    <row r="111" spans="1:13" x14ac:dyDescent="0.45">
      <c r="A111">
        <v>10.1</v>
      </c>
      <c r="B111">
        <v>1.1000000000000001</v>
      </c>
      <c r="C111">
        <v>-4.6399999999999997</v>
      </c>
      <c r="D111">
        <v>100.19</v>
      </c>
      <c r="E111">
        <v>26.37</v>
      </c>
      <c r="F111">
        <v>0.30214333999999998</v>
      </c>
      <c r="G111">
        <v>4.28</v>
      </c>
      <c r="H111">
        <v>7.5564460000000002</v>
      </c>
      <c r="K111">
        <v>51.626549985759823</v>
      </c>
      <c r="L111">
        <v>48.816034280842615</v>
      </c>
      <c r="M111">
        <v>46.071293571754282</v>
      </c>
    </row>
    <row r="112" spans="1:13" x14ac:dyDescent="0.45">
      <c r="A112">
        <v>11.9</v>
      </c>
      <c r="B112">
        <v>0</v>
      </c>
      <c r="C112">
        <v>3.55</v>
      </c>
      <c r="D112">
        <v>70.34</v>
      </c>
      <c r="E112">
        <v>27.48</v>
      </c>
      <c r="F112">
        <v>2.9189039999999999</v>
      </c>
      <c r="G112">
        <v>1.6</v>
      </c>
      <c r="H112">
        <v>2.7566790000000001</v>
      </c>
      <c r="K112">
        <v>4.2878733912520337</v>
      </c>
      <c r="L112">
        <v>6.5556739363075298</v>
      </c>
      <c r="M112">
        <v>7.8035026352663639</v>
      </c>
    </row>
    <row r="113" spans="1:13" x14ac:dyDescent="0.45">
      <c r="A113">
        <v>16.7</v>
      </c>
      <c r="B113">
        <v>1.1000000000000001</v>
      </c>
      <c r="C113">
        <v>4.38</v>
      </c>
      <c r="D113">
        <v>149.32</v>
      </c>
      <c r="E113">
        <v>32.75</v>
      </c>
      <c r="F113">
        <v>1.0344827000000001</v>
      </c>
      <c r="G113">
        <v>6.53</v>
      </c>
      <c r="H113">
        <v>2.7614057000000001</v>
      </c>
      <c r="K113">
        <v>35.28923214359714</v>
      </c>
      <c r="L113">
        <v>34.119035989115226</v>
      </c>
      <c r="M113">
        <v>35.94020692011086</v>
      </c>
    </row>
    <row r="114" spans="1:13" x14ac:dyDescent="0.45">
      <c r="A114">
        <v>199.4</v>
      </c>
      <c r="B114">
        <v>15.4</v>
      </c>
      <c r="C114">
        <v>1.91</v>
      </c>
      <c r="D114">
        <v>38.770000000000003</v>
      </c>
      <c r="E114">
        <v>17.87</v>
      </c>
      <c r="F114">
        <v>2.8755576999999999</v>
      </c>
      <c r="G114">
        <v>3.07</v>
      </c>
      <c r="H114">
        <v>5.4844179999999998</v>
      </c>
      <c r="K114">
        <v>153.62350429210323</v>
      </c>
      <c r="L114">
        <v>154.4033828912662</v>
      </c>
      <c r="M114">
        <v>151.95814277397966</v>
      </c>
    </row>
    <row r="115" spans="1:13" x14ac:dyDescent="0.45">
      <c r="A115">
        <v>192.7</v>
      </c>
      <c r="B115">
        <v>0</v>
      </c>
      <c r="C115">
        <v>-3.1</v>
      </c>
      <c r="D115">
        <v>71.87</v>
      </c>
      <c r="E115">
        <v>13.48</v>
      </c>
      <c r="F115">
        <v>1.7068943000000001</v>
      </c>
      <c r="G115">
        <v>0.9</v>
      </c>
      <c r="H115">
        <v>2.1857586000000002</v>
      </c>
      <c r="K115">
        <v>20.463762603260726</v>
      </c>
      <c r="L115">
        <v>20.282360889608661</v>
      </c>
      <c r="M115">
        <v>22.996658984550304</v>
      </c>
    </row>
    <row r="116" spans="1:13" x14ac:dyDescent="0.45">
      <c r="A116">
        <v>22</v>
      </c>
      <c r="B116">
        <v>0</v>
      </c>
      <c r="C116">
        <v>3.27</v>
      </c>
      <c r="D116">
        <v>42.19</v>
      </c>
      <c r="E116">
        <v>16.04</v>
      </c>
      <c r="F116">
        <v>1.9625334999999999</v>
      </c>
      <c r="G116">
        <v>1.08</v>
      </c>
      <c r="H116">
        <v>3.3917345999999999</v>
      </c>
      <c r="K116">
        <v>9.182238915212514E-3</v>
      </c>
      <c r="L116">
        <v>6.2818591592912476E-3</v>
      </c>
      <c r="M116">
        <v>0.19685601837672362</v>
      </c>
    </row>
    <row r="117" spans="1:13" x14ac:dyDescent="0.45">
      <c r="A117">
        <v>13.2</v>
      </c>
      <c r="B117">
        <v>0.8</v>
      </c>
      <c r="C117">
        <v>-0.24</v>
      </c>
      <c r="D117">
        <v>84.53</v>
      </c>
      <c r="E117">
        <v>20.37</v>
      </c>
      <c r="F117">
        <v>0</v>
      </c>
      <c r="G117">
        <v>6.73</v>
      </c>
      <c r="H117">
        <v>4.7538714000000004</v>
      </c>
      <c r="K117">
        <v>31.651736048514547</v>
      </c>
      <c r="L117">
        <v>27.934777018204713</v>
      </c>
      <c r="M117">
        <v>27.498650261262959</v>
      </c>
    </row>
    <row r="118" spans="1:13" x14ac:dyDescent="0.45">
      <c r="A118">
        <v>54.4</v>
      </c>
      <c r="B118">
        <v>2.9</v>
      </c>
      <c r="C118">
        <v>11.94</v>
      </c>
      <c r="D118">
        <v>153.04</v>
      </c>
      <c r="E118">
        <v>32.15</v>
      </c>
      <c r="F118">
        <v>3.6828612999999999</v>
      </c>
      <c r="G118">
        <v>2.5099999999999998</v>
      </c>
      <c r="H118">
        <v>14.881805999999999</v>
      </c>
      <c r="K118">
        <v>44.119389437500047</v>
      </c>
      <c r="L118">
        <v>48.078087140278363</v>
      </c>
      <c r="M118">
        <v>35.079621972598297</v>
      </c>
    </row>
    <row r="119" spans="1:13" x14ac:dyDescent="0.45">
      <c r="A119">
        <v>11.9</v>
      </c>
      <c r="B119">
        <v>2.1</v>
      </c>
      <c r="C119">
        <v>1.99</v>
      </c>
      <c r="D119">
        <v>41.77</v>
      </c>
      <c r="E119">
        <v>21.42</v>
      </c>
      <c r="F119">
        <v>3.3918406999999999</v>
      </c>
      <c r="G119">
        <v>2.65</v>
      </c>
      <c r="H119">
        <v>2.4711675999999998</v>
      </c>
      <c r="K119">
        <v>20.088890748249348</v>
      </c>
      <c r="L119">
        <v>22.958087968767511</v>
      </c>
      <c r="M119">
        <v>24.376467698536022</v>
      </c>
    </row>
    <row r="120" spans="1:13" x14ac:dyDescent="0.45">
      <c r="A120">
        <v>189.9</v>
      </c>
      <c r="B120">
        <v>8.6</v>
      </c>
      <c r="C120">
        <v>1.49</v>
      </c>
      <c r="D120">
        <v>43.1</v>
      </c>
      <c r="E120">
        <v>22.8</v>
      </c>
      <c r="F120">
        <v>3.3213644000000002</v>
      </c>
      <c r="G120">
        <v>8.65</v>
      </c>
      <c r="H120">
        <v>6.8221379999999998</v>
      </c>
      <c r="K120">
        <v>90.336059220541713</v>
      </c>
      <c r="L120">
        <v>92.575891601285306</v>
      </c>
      <c r="M120">
        <v>88.991670544116033</v>
      </c>
    </row>
    <row r="121" spans="1:13" x14ac:dyDescent="0.45">
      <c r="A121">
        <v>45.1</v>
      </c>
      <c r="B121">
        <v>2.9</v>
      </c>
      <c r="C121">
        <v>2.54</v>
      </c>
      <c r="D121">
        <v>75.16</v>
      </c>
      <c r="E121">
        <v>22.44</v>
      </c>
      <c r="F121">
        <v>1.0454783000000001</v>
      </c>
      <c r="G121">
        <v>3.94</v>
      </c>
      <c r="H121">
        <v>3.9678396999999999</v>
      </c>
      <c r="K121">
        <v>40.73162602162585</v>
      </c>
      <c r="L121">
        <v>38.919791876719813</v>
      </c>
      <c r="M121">
        <v>38.840110855362283</v>
      </c>
    </row>
    <row r="122" spans="1:13" x14ac:dyDescent="0.45">
      <c r="A122">
        <v>61.6</v>
      </c>
      <c r="B122">
        <v>4.0999999999999996</v>
      </c>
      <c r="C122">
        <v>2.2799999999999998</v>
      </c>
      <c r="D122">
        <v>68.95</v>
      </c>
      <c r="E122">
        <v>24.02</v>
      </c>
      <c r="F122">
        <v>2.2801765999999999</v>
      </c>
      <c r="G122">
        <v>236.42</v>
      </c>
      <c r="H122">
        <v>4.000737</v>
      </c>
      <c r="K122">
        <v>51.09216796926016</v>
      </c>
      <c r="L122">
        <v>49.982136023199807</v>
      </c>
      <c r="M122">
        <v>49.834465204439432</v>
      </c>
    </row>
    <row r="123" spans="1:13" x14ac:dyDescent="0.45">
      <c r="A123">
        <v>186.5</v>
      </c>
      <c r="B123">
        <v>28.7</v>
      </c>
      <c r="C123">
        <v>4.74</v>
      </c>
      <c r="D123">
        <v>38.19</v>
      </c>
      <c r="E123">
        <v>18.54</v>
      </c>
      <c r="F123">
        <v>1.8929016999999999</v>
      </c>
      <c r="G123">
        <v>2.65</v>
      </c>
      <c r="H123">
        <v>2.1797748000000001</v>
      </c>
      <c r="K123">
        <v>275.17448675663894</v>
      </c>
      <c r="L123">
        <v>272.90682181530576</v>
      </c>
      <c r="M123">
        <v>273.36430898028965</v>
      </c>
    </row>
    <row r="124" spans="1:13" x14ac:dyDescent="0.45">
      <c r="A124">
        <v>16.3</v>
      </c>
      <c r="B124">
        <v>0</v>
      </c>
      <c r="C124">
        <v>4.13</v>
      </c>
      <c r="D124">
        <v>89.18</v>
      </c>
      <c r="E124">
        <v>18.89</v>
      </c>
      <c r="F124">
        <v>1.2823252999999999</v>
      </c>
      <c r="G124">
        <v>1.96</v>
      </c>
      <c r="H124">
        <v>4.9054719999999996</v>
      </c>
      <c r="K124">
        <v>11.951514892745141</v>
      </c>
      <c r="L124">
        <v>10.85615650523599</v>
      </c>
      <c r="M124">
        <v>9.64623823009806</v>
      </c>
    </row>
    <row r="125" spans="1:13" x14ac:dyDescent="0.45">
      <c r="A125">
        <v>14.4</v>
      </c>
      <c r="B125">
        <v>1.3</v>
      </c>
      <c r="C125">
        <v>1.46</v>
      </c>
      <c r="D125">
        <v>35.49</v>
      </c>
      <c r="E125">
        <v>18.2</v>
      </c>
      <c r="F125">
        <v>2.3683475999999999</v>
      </c>
      <c r="G125">
        <v>3.86</v>
      </c>
      <c r="H125">
        <v>1.8294994</v>
      </c>
      <c r="K125">
        <v>13.128543509212275</v>
      </c>
      <c r="L125">
        <v>13.879970287029561</v>
      </c>
      <c r="M125">
        <v>16.031232500846155</v>
      </c>
    </row>
    <row r="126" spans="1:13" x14ac:dyDescent="0.45">
      <c r="A126">
        <v>22</v>
      </c>
      <c r="B126">
        <v>2.2000000000000002</v>
      </c>
      <c r="C126">
        <v>-11.04</v>
      </c>
      <c r="D126">
        <v>140.09</v>
      </c>
      <c r="E126">
        <v>84.39</v>
      </c>
      <c r="F126">
        <v>0</v>
      </c>
      <c r="G126">
        <v>2.61</v>
      </c>
      <c r="H126">
        <v>12.271951</v>
      </c>
      <c r="K126">
        <v>98.927562680778507</v>
      </c>
      <c r="L126">
        <v>96.519314172122492</v>
      </c>
      <c r="M126">
        <v>90.442119865368298</v>
      </c>
    </row>
    <row r="127" spans="1:13" x14ac:dyDescent="0.45">
      <c r="A127">
        <v>65.5</v>
      </c>
      <c r="B127">
        <v>5.3</v>
      </c>
      <c r="C127">
        <v>-0.65</v>
      </c>
      <c r="D127">
        <v>53.24</v>
      </c>
      <c r="E127">
        <v>72.930000000000007</v>
      </c>
      <c r="F127">
        <v>2.0492539999999999</v>
      </c>
      <c r="G127">
        <v>2.16</v>
      </c>
      <c r="H127">
        <v>2.0764176999999999</v>
      </c>
      <c r="K127">
        <v>68.353131484118975</v>
      </c>
      <c r="L127">
        <v>68.968884853420349</v>
      </c>
      <c r="M127">
        <v>71.872398681421032</v>
      </c>
    </row>
    <row r="128" spans="1:13" x14ac:dyDescent="0.45">
      <c r="A128">
        <v>23.3</v>
      </c>
      <c r="B128">
        <v>4.3</v>
      </c>
      <c r="C128">
        <v>4.0999999999999996</v>
      </c>
      <c r="D128">
        <v>74.73</v>
      </c>
      <c r="E128">
        <v>18.64</v>
      </c>
      <c r="F128">
        <v>3.8001594999999999</v>
      </c>
      <c r="G128">
        <v>1.58</v>
      </c>
      <c r="H128">
        <v>2.9602439999999999</v>
      </c>
      <c r="K128">
        <v>43.397349248176525</v>
      </c>
      <c r="L128">
        <v>47.079525210207336</v>
      </c>
      <c r="M128">
        <v>47.810237388632736</v>
      </c>
    </row>
    <row r="129" spans="1:13" x14ac:dyDescent="0.45">
      <c r="A129">
        <v>41.7</v>
      </c>
      <c r="B129">
        <v>3</v>
      </c>
      <c r="C129">
        <v>8.7100000000000009</v>
      </c>
      <c r="D129">
        <v>208.73</v>
      </c>
      <c r="E129">
        <v>30.92</v>
      </c>
      <c r="F129">
        <v>0.97128179999999997</v>
      </c>
      <c r="G129">
        <v>5.14</v>
      </c>
      <c r="H129">
        <v>5.1455960000000003</v>
      </c>
      <c r="K129">
        <v>59.595142390390983</v>
      </c>
      <c r="L129">
        <v>58.410393645272848</v>
      </c>
      <c r="M129">
        <v>57.32290966077877</v>
      </c>
    </row>
    <row r="130" spans="1:13" x14ac:dyDescent="0.45">
      <c r="A130">
        <v>25.8</v>
      </c>
      <c r="B130">
        <v>3</v>
      </c>
      <c r="C130">
        <v>-0.78</v>
      </c>
      <c r="D130">
        <v>28.45</v>
      </c>
      <c r="E130">
        <v>16.45</v>
      </c>
      <c r="F130">
        <v>2.0791415999999998</v>
      </c>
      <c r="G130">
        <v>1.71</v>
      </c>
      <c r="H130">
        <v>2.5446819999999999</v>
      </c>
      <c r="K130">
        <v>34.60451633887854</v>
      </c>
      <c r="L130">
        <v>34.649741324776272</v>
      </c>
      <c r="M130">
        <v>36.192962496337032</v>
      </c>
    </row>
    <row r="131" spans="1:13" x14ac:dyDescent="0.45">
      <c r="A131">
        <v>80.400000000000006</v>
      </c>
      <c r="B131">
        <v>5.7</v>
      </c>
      <c r="C131">
        <v>6.09</v>
      </c>
      <c r="D131">
        <v>178.61</v>
      </c>
      <c r="E131">
        <v>30.69</v>
      </c>
      <c r="F131">
        <v>1.0917627000000001</v>
      </c>
      <c r="G131">
        <v>7.24</v>
      </c>
      <c r="H131">
        <v>0.61203885000000002</v>
      </c>
      <c r="K131">
        <v>80.003516834355736</v>
      </c>
      <c r="L131">
        <v>78.738186340137787</v>
      </c>
      <c r="M131">
        <v>82.810638192079338</v>
      </c>
    </row>
    <row r="132" spans="1:13" x14ac:dyDescent="0.45">
      <c r="A132">
        <v>13.1</v>
      </c>
      <c r="B132">
        <v>0.2</v>
      </c>
      <c r="C132">
        <v>-0.63</v>
      </c>
      <c r="D132">
        <v>19.96</v>
      </c>
      <c r="E132">
        <v>24.64</v>
      </c>
      <c r="F132">
        <v>2.8604120000000002</v>
      </c>
      <c r="G132">
        <v>1.37</v>
      </c>
      <c r="H132">
        <v>2.0061795999999998</v>
      </c>
      <c r="K132">
        <v>3.7172190147849711</v>
      </c>
      <c r="L132">
        <v>5.6083522637296817</v>
      </c>
      <c r="M132">
        <v>7.8536771216216721</v>
      </c>
    </row>
    <row r="133" spans="1:13" x14ac:dyDescent="0.45">
      <c r="A133">
        <v>44.2</v>
      </c>
      <c r="B133">
        <v>2.2999999999999998</v>
      </c>
      <c r="C133">
        <v>1.02</v>
      </c>
      <c r="D133">
        <v>103.81</v>
      </c>
      <c r="E133">
        <v>21.45</v>
      </c>
      <c r="F133">
        <v>3.862069</v>
      </c>
      <c r="G133">
        <v>3.54</v>
      </c>
      <c r="H133">
        <v>10.125291000000001</v>
      </c>
      <c r="K133">
        <v>45.89282031244705</v>
      </c>
      <c r="L133">
        <v>50.126769972141702</v>
      </c>
      <c r="M133">
        <v>43.577812021890203</v>
      </c>
    </row>
    <row r="134" spans="1:13" x14ac:dyDescent="0.45">
      <c r="A134">
        <v>5.0999999999999996</v>
      </c>
      <c r="B134">
        <v>0.5</v>
      </c>
      <c r="C134">
        <v>1.83</v>
      </c>
      <c r="D134">
        <v>30.85</v>
      </c>
      <c r="E134">
        <v>15.12</v>
      </c>
      <c r="F134">
        <v>1.275917</v>
      </c>
      <c r="G134">
        <v>11.37</v>
      </c>
      <c r="H134">
        <v>1.3324838999999999</v>
      </c>
      <c r="K134">
        <v>4.7921190528153232</v>
      </c>
      <c r="L134">
        <v>3.2238257825089063</v>
      </c>
      <c r="M134">
        <v>5.8270406113768498</v>
      </c>
    </row>
    <row r="135" spans="1:13" x14ac:dyDescent="0.45">
      <c r="A135">
        <v>47.3</v>
      </c>
      <c r="B135">
        <v>5</v>
      </c>
      <c r="C135">
        <v>6.07</v>
      </c>
      <c r="D135">
        <v>50.47</v>
      </c>
      <c r="E135">
        <v>21.94</v>
      </c>
      <c r="F135">
        <v>1.5102888000000001</v>
      </c>
      <c r="G135">
        <v>4.2699999999999996</v>
      </c>
      <c r="H135">
        <v>4.2163550000000001</v>
      </c>
      <c r="K135">
        <v>46.713753218172826</v>
      </c>
      <c r="L135">
        <v>45.437038679388856</v>
      </c>
      <c r="M135">
        <v>44.273822380455776</v>
      </c>
    </row>
    <row r="136" spans="1:13" x14ac:dyDescent="0.45">
      <c r="A136">
        <v>28.7</v>
      </c>
      <c r="B136">
        <v>2.9</v>
      </c>
      <c r="C136">
        <v>8.23</v>
      </c>
      <c r="D136">
        <v>165.73</v>
      </c>
      <c r="E136">
        <v>16.829999999999998</v>
      </c>
      <c r="F136">
        <v>2.5008683</v>
      </c>
      <c r="G136">
        <v>3.89</v>
      </c>
      <c r="H136">
        <v>1.9406167999999999</v>
      </c>
      <c r="K136">
        <v>41.724563226969288</v>
      </c>
      <c r="L136">
        <v>43.280108112777164</v>
      </c>
      <c r="M136">
        <v>45.339010776836901</v>
      </c>
    </row>
    <row r="137" spans="1:13" x14ac:dyDescent="0.45">
      <c r="A137">
        <v>75.3</v>
      </c>
      <c r="B137">
        <v>11.7</v>
      </c>
      <c r="C137">
        <v>4.91</v>
      </c>
      <c r="D137">
        <v>70.55</v>
      </c>
      <c r="E137">
        <v>12.36</v>
      </c>
      <c r="F137">
        <v>2.6899798000000001</v>
      </c>
      <c r="G137">
        <v>2.13</v>
      </c>
      <c r="H137">
        <v>0.54985200000000001</v>
      </c>
      <c r="K137">
        <v>111.71136469925339</v>
      </c>
      <c r="L137">
        <v>112.4549545523713</v>
      </c>
      <c r="M137">
        <v>115.44224843960797</v>
      </c>
    </row>
    <row r="138" spans="1:13" x14ac:dyDescent="0.45">
      <c r="A138">
        <v>17.399999999999999</v>
      </c>
      <c r="B138">
        <v>1.7</v>
      </c>
      <c r="C138">
        <v>2.73</v>
      </c>
      <c r="D138">
        <v>44.55</v>
      </c>
      <c r="E138">
        <v>16.32</v>
      </c>
      <c r="F138">
        <v>1.0801468999999999</v>
      </c>
      <c r="G138">
        <v>2.17</v>
      </c>
      <c r="H138">
        <v>1.1931022</v>
      </c>
      <c r="K138">
        <v>17.786933355632382</v>
      </c>
      <c r="L138">
        <v>15.876415625245787</v>
      </c>
      <c r="M138">
        <v>18.597739364829796</v>
      </c>
    </row>
    <row r="139" spans="1:13" x14ac:dyDescent="0.45">
      <c r="A139">
        <v>66.400000000000006</v>
      </c>
      <c r="B139">
        <v>4.3</v>
      </c>
      <c r="C139">
        <v>3.53</v>
      </c>
      <c r="D139">
        <v>92.16</v>
      </c>
      <c r="E139">
        <v>22.87</v>
      </c>
      <c r="F139">
        <v>0.58792650000000002</v>
      </c>
      <c r="G139">
        <v>2.65</v>
      </c>
      <c r="H139">
        <v>3.6882779999999999</v>
      </c>
      <c r="K139">
        <v>56.558646277564158</v>
      </c>
      <c r="L139">
        <v>53.803327735905029</v>
      </c>
      <c r="M139">
        <v>53.998597622929609</v>
      </c>
    </row>
    <row r="140" spans="1:13" x14ac:dyDescent="0.45">
      <c r="A140">
        <v>11.7</v>
      </c>
      <c r="B140">
        <v>1</v>
      </c>
      <c r="C140">
        <v>3.81</v>
      </c>
      <c r="D140">
        <v>91.33</v>
      </c>
      <c r="E140">
        <v>22.72</v>
      </c>
      <c r="F140">
        <v>2.6503996999999999</v>
      </c>
      <c r="G140">
        <v>5.89</v>
      </c>
      <c r="H140">
        <v>1.5278828</v>
      </c>
      <c r="K140">
        <v>16.795726522110652</v>
      </c>
      <c r="L140">
        <v>18.485500968050864</v>
      </c>
      <c r="M140">
        <v>21.167548151291989</v>
      </c>
    </row>
    <row r="141" spans="1:13" x14ac:dyDescent="0.45">
      <c r="A141">
        <v>13.7</v>
      </c>
      <c r="B141">
        <v>2.2999999999999998</v>
      </c>
      <c r="C141">
        <v>4.3</v>
      </c>
      <c r="D141">
        <v>71.91</v>
      </c>
      <c r="E141">
        <v>20.55</v>
      </c>
      <c r="F141">
        <v>0</v>
      </c>
      <c r="G141">
        <v>2.79</v>
      </c>
      <c r="H141">
        <v>1.1451397000000001</v>
      </c>
      <c r="K141">
        <v>28.74820752397158</v>
      </c>
      <c r="L141">
        <v>24.751648042364398</v>
      </c>
      <c r="M141">
        <v>27.560924839558016</v>
      </c>
    </row>
    <row r="142" spans="1:13" x14ac:dyDescent="0.45">
      <c r="A142">
        <v>52.2</v>
      </c>
      <c r="B142">
        <v>4.0999999999999996</v>
      </c>
      <c r="C142">
        <v>6.64</v>
      </c>
      <c r="D142">
        <v>153.66</v>
      </c>
      <c r="E142">
        <v>23.14</v>
      </c>
      <c r="F142">
        <v>1.4866204000000001</v>
      </c>
      <c r="G142">
        <v>5.31</v>
      </c>
      <c r="H142">
        <v>2.3746448</v>
      </c>
      <c r="K142">
        <v>57.791343362525588</v>
      </c>
      <c r="L142">
        <v>57.200071449152347</v>
      </c>
      <c r="M142">
        <v>58.9458932535317</v>
      </c>
    </row>
    <row r="143" spans="1:13" x14ac:dyDescent="0.45">
      <c r="A143">
        <v>38.4</v>
      </c>
      <c r="B143">
        <v>8.3000000000000007</v>
      </c>
      <c r="C143">
        <v>4.9400000000000004</v>
      </c>
      <c r="D143">
        <v>51.23</v>
      </c>
      <c r="E143">
        <v>10.37</v>
      </c>
      <c r="F143">
        <v>2.2655525000000001</v>
      </c>
      <c r="G143">
        <v>2.67</v>
      </c>
      <c r="H143">
        <v>0.91792434000000001</v>
      </c>
      <c r="K143">
        <v>75.15844075309829</v>
      </c>
      <c r="L143">
        <v>75.120077449011646</v>
      </c>
      <c r="M143">
        <v>77.603304003745052</v>
      </c>
    </row>
    <row r="144" spans="1:13" x14ac:dyDescent="0.45">
      <c r="A144">
        <v>13.4</v>
      </c>
      <c r="B144">
        <v>-0.4</v>
      </c>
      <c r="C144">
        <v>1.99</v>
      </c>
      <c r="D144">
        <v>56.85</v>
      </c>
      <c r="E144">
        <v>22.65</v>
      </c>
      <c r="F144">
        <v>0.60034304999999999</v>
      </c>
      <c r="G144">
        <v>1.8</v>
      </c>
      <c r="H144">
        <v>4.6262619999999997</v>
      </c>
      <c r="K144">
        <v>7.3461389271850317</v>
      </c>
      <c r="L144">
        <v>4.7698329023452422</v>
      </c>
      <c r="M144">
        <v>3.9779211560027896</v>
      </c>
    </row>
    <row r="145" spans="1:13" x14ac:dyDescent="0.45">
      <c r="A145">
        <v>19.3</v>
      </c>
      <c r="B145">
        <v>3.7</v>
      </c>
      <c r="C145">
        <v>-6.89</v>
      </c>
      <c r="D145">
        <v>34.94</v>
      </c>
      <c r="E145">
        <v>23.93</v>
      </c>
      <c r="F145">
        <v>0.65288360000000001</v>
      </c>
      <c r="G145">
        <v>2.85</v>
      </c>
      <c r="H145">
        <v>2.0660408000000001</v>
      </c>
      <c r="K145">
        <v>60.492460794976722</v>
      </c>
      <c r="L145">
        <v>57.844870882154417</v>
      </c>
      <c r="M145">
        <v>60.961780017746207</v>
      </c>
    </row>
    <row r="146" spans="1:13" x14ac:dyDescent="0.45">
      <c r="A146">
        <v>21.4</v>
      </c>
      <c r="B146">
        <v>1.3</v>
      </c>
      <c r="C146">
        <v>2.19</v>
      </c>
      <c r="D146">
        <v>98.96</v>
      </c>
      <c r="E146">
        <v>16.55</v>
      </c>
      <c r="F146">
        <v>3.5710856999999998</v>
      </c>
      <c r="G146">
        <v>2.3199999999999998</v>
      </c>
      <c r="H146">
        <v>12.434960999999999</v>
      </c>
      <c r="K146">
        <v>34.925951391907965</v>
      </c>
      <c r="L146">
        <v>38.518117913414741</v>
      </c>
      <c r="M146">
        <v>29.118987749057126</v>
      </c>
    </row>
    <row r="147" spans="1:13" x14ac:dyDescent="0.45">
      <c r="A147">
        <v>27.4</v>
      </c>
      <c r="B147">
        <v>0</v>
      </c>
      <c r="C147">
        <v>5.41</v>
      </c>
      <c r="D147">
        <v>72.400000000000006</v>
      </c>
      <c r="E147">
        <v>12.13</v>
      </c>
      <c r="F147">
        <v>1.8269607000000001</v>
      </c>
      <c r="G147">
        <v>2.52</v>
      </c>
      <c r="H147">
        <v>2.3610324999999999</v>
      </c>
      <c r="K147">
        <v>0.42560860558948993</v>
      </c>
      <c r="L147">
        <v>0.22858902892701805</v>
      </c>
      <c r="M147">
        <v>1.4706519204163762</v>
      </c>
    </row>
    <row r="148" spans="1:13" x14ac:dyDescent="0.45">
      <c r="A148">
        <v>8.8000000000000007</v>
      </c>
      <c r="B148">
        <v>2.1</v>
      </c>
      <c r="C148">
        <v>1.96</v>
      </c>
      <c r="D148">
        <v>22.87</v>
      </c>
      <c r="E148">
        <v>11</v>
      </c>
      <c r="F148">
        <v>0</v>
      </c>
      <c r="G148">
        <v>1.5</v>
      </c>
      <c r="H148">
        <v>1.8040879999999999</v>
      </c>
      <c r="K148">
        <v>20.944437032867167</v>
      </c>
      <c r="L148">
        <v>16.60656697837619</v>
      </c>
      <c r="M148">
        <v>18.490150108563398</v>
      </c>
    </row>
    <row r="149" spans="1:13" x14ac:dyDescent="0.45">
      <c r="A149">
        <v>8.3000000000000007</v>
      </c>
      <c r="B149">
        <v>2.1</v>
      </c>
      <c r="C149">
        <v>1.96</v>
      </c>
      <c r="D149">
        <v>21.58</v>
      </c>
      <c r="E149">
        <v>10.37</v>
      </c>
      <c r="F149">
        <v>0</v>
      </c>
      <c r="G149">
        <v>1.43</v>
      </c>
      <c r="H149">
        <v>1.7147918</v>
      </c>
      <c r="K149">
        <v>20.481880474344639</v>
      </c>
      <c r="L149">
        <v>16.129100652380831</v>
      </c>
      <c r="M149">
        <v>18.094506728486671</v>
      </c>
    </row>
    <row r="150" spans="1:13" x14ac:dyDescent="0.45">
      <c r="A150">
        <v>21</v>
      </c>
      <c r="B150">
        <v>2.8</v>
      </c>
      <c r="C150">
        <v>3.06</v>
      </c>
      <c r="D150">
        <v>43.77</v>
      </c>
      <c r="E150">
        <v>16.09</v>
      </c>
      <c r="F150">
        <v>0</v>
      </c>
      <c r="G150">
        <v>3.76</v>
      </c>
      <c r="H150">
        <v>1.8521843</v>
      </c>
      <c r="K150">
        <v>30.537897380412527</v>
      </c>
      <c r="L150">
        <v>26.296388181146437</v>
      </c>
      <c r="M150">
        <v>28.182364639056864</v>
      </c>
    </row>
    <row r="151" spans="1:13" x14ac:dyDescent="0.45">
      <c r="A151">
        <v>26.6</v>
      </c>
      <c r="B151">
        <v>2.5</v>
      </c>
      <c r="C151">
        <v>4.43</v>
      </c>
      <c r="D151">
        <v>95.1</v>
      </c>
      <c r="E151">
        <v>21.18</v>
      </c>
      <c r="F151">
        <v>1.0625255</v>
      </c>
      <c r="G151">
        <v>4.53</v>
      </c>
      <c r="H151">
        <v>1.5283886</v>
      </c>
      <c r="K151">
        <v>33.920787489591007</v>
      </c>
      <c r="L151">
        <v>32.236572473224733</v>
      </c>
      <c r="M151">
        <v>34.792663116167049</v>
      </c>
    </row>
    <row r="152" spans="1:13" x14ac:dyDescent="0.45">
      <c r="A152">
        <v>25.2</v>
      </c>
      <c r="B152">
        <v>2.4</v>
      </c>
      <c r="C152">
        <v>3.77</v>
      </c>
      <c r="D152">
        <v>101.58</v>
      </c>
      <c r="E152">
        <v>26.66</v>
      </c>
      <c r="F152">
        <v>0</v>
      </c>
      <c r="G152">
        <v>4.08</v>
      </c>
      <c r="H152">
        <v>1.6097589000000001</v>
      </c>
      <c r="K152">
        <v>38.846283532398871</v>
      </c>
      <c r="L152">
        <v>35.11050120142059</v>
      </c>
      <c r="M152">
        <v>37.799756674850499</v>
      </c>
    </row>
    <row r="153" spans="1:13" x14ac:dyDescent="0.45">
      <c r="A153">
        <v>47.5</v>
      </c>
      <c r="B153">
        <v>6.4</v>
      </c>
      <c r="C153">
        <v>4.91</v>
      </c>
      <c r="D153">
        <v>73.31</v>
      </c>
      <c r="E153">
        <v>20.420000000000002</v>
      </c>
      <c r="F153">
        <v>4.5281997</v>
      </c>
      <c r="G153">
        <v>2.96</v>
      </c>
      <c r="H153">
        <v>3.7954213999999999</v>
      </c>
      <c r="K153">
        <v>61.360074886984627</v>
      </c>
      <c r="L153">
        <v>66.364157773384548</v>
      </c>
      <c r="M153">
        <v>65.979046283862516</v>
      </c>
    </row>
    <row r="154" spans="1:13" x14ac:dyDescent="0.45">
      <c r="A154">
        <v>15.6</v>
      </c>
      <c r="B154">
        <v>1.5</v>
      </c>
      <c r="C154">
        <v>5.15</v>
      </c>
      <c r="D154">
        <v>96.2</v>
      </c>
      <c r="E154">
        <v>23.87</v>
      </c>
      <c r="F154">
        <v>1.8815052999999999</v>
      </c>
      <c r="G154">
        <v>3.59</v>
      </c>
      <c r="H154">
        <v>1.9861759999999999</v>
      </c>
      <c r="K154">
        <v>21.841708626835828</v>
      </c>
      <c r="L154">
        <v>21.937781239052388</v>
      </c>
      <c r="M154">
        <v>23.944750338182843</v>
      </c>
    </row>
    <row r="155" spans="1:13" x14ac:dyDescent="0.45">
      <c r="A155">
        <v>165.2</v>
      </c>
      <c r="B155">
        <v>5.2</v>
      </c>
      <c r="C155">
        <v>1.59</v>
      </c>
      <c r="D155">
        <v>68.209999999999994</v>
      </c>
      <c r="E155">
        <v>49.43</v>
      </c>
      <c r="F155">
        <v>2.1529745999999998</v>
      </c>
      <c r="G155">
        <v>1.54</v>
      </c>
      <c r="H155">
        <v>2.6922394999999999</v>
      </c>
      <c r="K155">
        <v>63.246370671700689</v>
      </c>
      <c r="L155">
        <v>63.854297479440604</v>
      </c>
      <c r="M155">
        <v>65.564812778515289</v>
      </c>
    </row>
    <row r="156" spans="1:13" x14ac:dyDescent="0.45">
      <c r="A156">
        <v>21.2</v>
      </c>
      <c r="B156">
        <v>1.5</v>
      </c>
      <c r="C156">
        <v>4.54</v>
      </c>
      <c r="D156">
        <v>116.93</v>
      </c>
      <c r="E156">
        <v>26.57</v>
      </c>
      <c r="F156">
        <v>1.9661016</v>
      </c>
      <c r="G156">
        <v>9.99</v>
      </c>
      <c r="H156">
        <v>4.2149185999999998</v>
      </c>
      <c r="K156">
        <v>30.614179767236134</v>
      </c>
      <c r="L156">
        <v>31.015607632102181</v>
      </c>
      <c r="M156">
        <v>30.809496759365903</v>
      </c>
    </row>
    <row r="157" spans="1:13" x14ac:dyDescent="0.45">
      <c r="A157">
        <v>17.8</v>
      </c>
      <c r="B157">
        <v>2.8</v>
      </c>
      <c r="C157">
        <v>4.82</v>
      </c>
      <c r="D157">
        <v>98.49</v>
      </c>
      <c r="E157">
        <v>19.12</v>
      </c>
      <c r="F157">
        <v>3.5559585</v>
      </c>
      <c r="G157">
        <v>1.95</v>
      </c>
      <c r="H157">
        <v>1.9091921999999999</v>
      </c>
      <c r="K157">
        <v>31.741945573227628</v>
      </c>
      <c r="L157">
        <v>35.170403482867194</v>
      </c>
      <c r="M157">
        <v>37.232807155081787</v>
      </c>
    </row>
    <row r="158" spans="1:13" x14ac:dyDescent="0.45">
      <c r="A158">
        <v>52.1</v>
      </c>
      <c r="B158">
        <v>9.9</v>
      </c>
      <c r="C158">
        <v>3.12</v>
      </c>
      <c r="D158">
        <v>74.319999999999993</v>
      </c>
      <c r="E158">
        <v>16.7</v>
      </c>
      <c r="F158">
        <v>4.7849463999999999</v>
      </c>
      <c r="G158">
        <v>1.27</v>
      </c>
      <c r="H158">
        <v>2.9348857000000002</v>
      </c>
      <c r="K158">
        <v>98.044491990039575</v>
      </c>
      <c r="L158">
        <v>103.35249264164095</v>
      </c>
      <c r="M158">
        <v>104.05762656846511</v>
      </c>
    </row>
    <row r="159" spans="1:13" x14ac:dyDescent="0.45">
      <c r="A159">
        <v>9</v>
      </c>
      <c r="B159">
        <v>0.5</v>
      </c>
      <c r="C159">
        <v>0.88</v>
      </c>
      <c r="D159">
        <v>24.52</v>
      </c>
      <c r="E159">
        <v>19.77</v>
      </c>
      <c r="F159">
        <v>3.1533308</v>
      </c>
      <c r="G159">
        <v>1.94</v>
      </c>
      <c r="H159">
        <v>16.077256999999999</v>
      </c>
      <c r="K159">
        <v>18.862725755786986</v>
      </c>
      <c r="L159">
        <v>21.235181059586708</v>
      </c>
      <c r="M159">
        <v>7.3577191122685139</v>
      </c>
    </row>
    <row r="160" spans="1:13" x14ac:dyDescent="0.45">
      <c r="A160">
        <v>27.4</v>
      </c>
      <c r="B160">
        <v>1.6</v>
      </c>
      <c r="C160">
        <v>-0.89</v>
      </c>
      <c r="D160">
        <v>91.92</v>
      </c>
      <c r="E160">
        <v>79.930000000000007</v>
      </c>
      <c r="F160">
        <v>0.74937549999999997</v>
      </c>
      <c r="G160">
        <v>2.2599999999999998</v>
      </c>
      <c r="H160">
        <v>1.9598055000000001</v>
      </c>
      <c r="K160">
        <v>44.766760425239049</v>
      </c>
      <c r="L160">
        <v>43.31548696291253</v>
      </c>
      <c r="M160">
        <v>46.915354236430659</v>
      </c>
    </row>
    <row r="161" spans="1:13" x14ac:dyDescent="0.45">
      <c r="A161">
        <v>13.8</v>
      </c>
      <c r="B161">
        <v>0</v>
      </c>
      <c r="C161">
        <v>2.15</v>
      </c>
      <c r="D161">
        <v>48.48</v>
      </c>
      <c r="E161">
        <v>22.14</v>
      </c>
      <c r="F161">
        <v>0</v>
      </c>
      <c r="G161">
        <v>2.15</v>
      </c>
      <c r="H161">
        <v>5.6891360000000004</v>
      </c>
      <c r="K161">
        <v>11.385214111294646</v>
      </c>
      <c r="L161">
        <v>7.4755967537474124</v>
      </c>
      <c r="M161">
        <v>5.3718474191202228</v>
      </c>
    </row>
    <row r="162" spans="1:13" x14ac:dyDescent="0.45">
      <c r="A162">
        <v>14.2</v>
      </c>
      <c r="B162">
        <v>2.2000000000000002</v>
      </c>
      <c r="C162">
        <v>10.119999999999999</v>
      </c>
      <c r="D162">
        <v>93.57</v>
      </c>
      <c r="E162">
        <v>12.28</v>
      </c>
      <c r="F162">
        <v>2.2630835</v>
      </c>
      <c r="G162">
        <v>2.78</v>
      </c>
      <c r="H162">
        <v>1.4904785</v>
      </c>
      <c r="K162">
        <v>13.749607870890365</v>
      </c>
      <c r="L162">
        <v>14.298791491658548</v>
      </c>
      <c r="M162">
        <v>15.93781587058111</v>
      </c>
    </row>
    <row r="163" spans="1:13" x14ac:dyDescent="0.45">
      <c r="A163">
        <v>36</v>
      </c>
      <c r="B163">
        <v>4.3</v>
      </c>
      <c r="C163">
        <v>6.68</v>
      </c>
      <c r="D163">
        <v>79.41</v>
      </c>
      <c r="E163">
        <v>17.079999999999998</v>
      </c>
      <c r="F163">
        <v>2.9404556999999998</v>
      </c>
      <c r="G163">
        <v>2.17</v>
      </c>
      <c r="H163">
        <v>1.8161735999999999</v>
      </c>
      <c r="K163">
        <v>38.692776647230147</v>
      </c>
      <c r="L163">
        <v>40.545402514909178</v>
      </c>
      <c r="M163">
        <v>42.203550713045999</v>
      </c>
    </row>
    <row r="164" spans="1:13" x14ac:dyDescent="0.45">
      <c r="A164">
        <v>44.2</v>
      </c>
      <c r="B164">
        <v>2.9</v>
      </c>
      <c r="C164">
        <v>-1.07</v>
      </c>
      <c r="D164">
        <v>41.02</v>
      </c>
      <c r="E164">
        <v>24.86</v>
      </c>
      <c r="F164">
        <v>0</v>
      </c>
      <c r="G164">
        <v>3.8</v>
      </c>
      <c r="H164">
        <v>4.6720185000000001</v>
      </c>
      <c r="K164">
        <v>44.782733766556433</v>
      </c>
      <c r="L164">
        <v>40.725503075004831</v>
      </c>
      <c r="M164">
        <v>40.128460606890698</v>
      </c>
    </row>
    <row r="165" spans="1:13" x14ac:dyDescent="0.45">
      <c r="A165">
        <v>38.5</v>
      </c>
      <c r="B165">
        <v>2.8</v>
      </c>
      <c r="C165">
        <v>4.1399999999999997</v>
      </c>
      <c r="D165">
        <v>127.76</v>
      </c>
      <c r="E165">
        <v>28.08</v>
      </c>
      <c r="F165">
        <v>1.2319711</v>
      </c>
      <c r="G165">
        <v>5.28</v>
      </c>
      <c r="H165">
        <v>3.7360687000000001</v>
      </c>
      <c r="K165">
        <v>47.786519304611708</v>
      </c>
      <c r="L165">
        <v>46.719586205546065</v>
      </c>
      <c r="M165">
        <v>47.18370407894885</v>
      </c>
    </row>
    <row r="166" spans="1:13" x14ac:dyDescent="0.45">
      <c r="A166">
        <v>19.399999999999999</v>
      </c>
      <c r="B166">
        <v>4.3</v>
      </c>
      <c r="C166">
        <v>3.96</v>
      </c>
      <c r="D166">
        <v>58.07</v>
      </c>
      <c r="E166">
        <v>13.23</v>
      </c>
      <c r="F166">
        <v>4.0542803000000003</v>
      </c>
      <c r="G166">
        <v>1.59</v>
      </c>
      <c r="H166">
        <v>2.161095</v>
      </c>
      <c r="K166">
        <v>37.949705898906622</v>
      </c>
      <c r="L166">
        <v>41.98934121201021</v>
      </c>
      <c r="M166">
        <v>43.432628905963234</v>
      </c>
    </row>
    <row r="167" spans="1:13" x14ac:dyDescent="0.45">
      <c r="A167">
        <v>27.4</v>
      </c>
      <c r="B167">
        <v>1.2</v>
      </c>
      <c r="C167">
        <v>2.88</v>
      </c>
      <c r="D167">
        <v>123.78</v>
      </c>
      <c r="E167">
        <v>32.57</v>
      </c>
      <c r="F167">
        <v>0</v>
      </c>
      <c r="G167">
        <v>8.48</v>
      </c>
      <c r="H167">
        <v>7.8283277</v>
      </c>
      <c r="K167">
        <v>41.914117938430046</v>
      </c>
      <c r="L167">
        <v>38.457505232678379</v>
      </c>
      <c r="M167">
        <v>34.56586724798413</v>
      </c>
    </row>
    <row r="168" spans="1:13" x14ac:dyDescent="0.45">
      <c r="A168">
        <v>37.9</v>
      </c>
      <c r="B168">
        <v>1.6</v>
      </c>
      <c r="C168">
        <v>3.07</v>
      </c>
      <c r="D168">
        <v>116.54</v>
      </c>
      <c r="E168">
        <v>34.479999999999997</v>
      </c>
      <c r="F168">
        <v>0</v>
      </c>
      <c r="G168">
        <v>8.5399999999999991</v>
      </c>
      <c r="H168">
        <v>7.4415817000000004</v>
      </c>
      <c r="K168">
        <v>43.539758841526648</v>
      </c>
      <c r="L168">
        <v>40.023543458570423</v>
      </c>
      <c r="M168">
        <v>36.490325775441647</v>
      </c>
    </row>
    <row r="169" spans="1:13" x14ac:dyDescent="0.45">
      <c r="A169">
        <v>44</v>
      </c>
      <c r="B169">
        <v>2.5</v>
      </c>
      <c r="C169">
        <v>2.35</v>
      </c>
      <c r="D169">
        <v>66.400000000000006</v>
      </c>
      <c r="E169">
        <v>25.74</v>
      </c>
      <c r="F169">
        <v>2.8132250000000001</v>
      </c>
      <c r="G169">
        <v>5.01</v>
      </c>
      <c r="H169">
        <v>3.6707752</v>
      </c>
      <c r="K169">
        <v>31.7247133400923</v>
      </c>
      <c r="L169">
        <v>33.555366263074404</v>
      </c>
      <c r="M169">
        <v>33.818492796022966</v>
      </c>
    </row>
    <row r="170" spans="1:13" x14ac:dyDescent="0.45">
      <c r="A170">
        <v>13.1</v>
      </c>
      <c r="B170">
        <v>0.9</v>
      </c>
      <c r="C170">
        <v>-3.26</v>
      </c>
      <c r="D170">
        <v>72.02</v>
      </c>
      <c r="E170">
        <v>10.65</v>
      </c>
      <c r="F170">
        <v>4.8921260000000002</v>
      </c>
      <c r="G170">
        <v>1.54</v>
      </c>
      <c r="H170">
        <v>1.5543115000000001</v>
      </c>
      <c r="K170">
        <v>22.082186286283175</v>
      </c>
      <c r="L170">
        <v>28.356227853542041</v>
      </c>
      <c r="M170">
        <v>31.744308055283078</v>
      </c>
    </row>
    <row r="171" spans="1:13" x14ac:dyDescent="0.45">
      <c r="A171">
        <v>4.2</v>
      </c>
      <c r="B171">
        <v>0.8</v>
      </c>
      <c r="C171">
        <v>-0.48</v>
      </c>
      <c r="D171">
        <v>35.340000000000003</v>
      </c>
      <c r="E171">
        <v>10.91</v>
      </c>
      <c r="F171">
        <v>0</v>
      </c>
      <c r="G171">
        <v>0.64</v>
      </c>
      <c r="H171">
        <v>1.2270989999999999</v>
      </c>
      <c r="K171">
        <v>16.088451684535087</v>
      </c>
      <c r="L171">
        <v>12.000963499417255</v>
      </c>
      <c r="M171">
        <v>15.041362459667633</v>
      </c>
    </row>
    <row r="172" spans="1:13" x14ac:dyDescent="0.45">
      <c r="A172">
        <v>61.2</v>
      </c>
      <c r="B172">
        <v>3.7</v>
      </c>
      <c r="C172">
        <v>-1.98</v>
      </c>
      <c r="D172">
        <v>101.04</v>
      </c>
      <c r="E172">
        <v>246.44</v>
      </c>
      <c r="F172">
        <v>0.63339007000000003</v>
      </c>
      <c r="G172">
        <v>4.55</v>
      </c>
      <c r="H172">
        <v>8.0230200000000007</v>
      </c>
      <c r="K172">
        <v>96.13885400330544</v>
      </c>
      <c r="L172">
        <v>96.251154851659578</v>
      </c>
      <c r="M172">
        <v>95.287688505835803</v>
      </c>
    </row>
    <row r="173" spans="1:13" x14ac:dyDescent="0.45">
      <c r="A173">
        <v>12.6</v>
      </c>
      <c r="B173">
        <v>1.5</v>
      </c>
      <c r="C173">
        <v>-2.69</v>
      </c>
      <c r="D173">
        <v>46.25</v>
      </c>
      <c r="E173">
        <v>53.16</v>
      </c>
      <c r="F173">
        <v>0.25183630000000001</v>
      </c>
      <c r="G173">
        <v>2.15</v>
      </c>
      <c r="H173">
        <v>6.4987307000000003</v>
      </c>
      <c r="K173">
        <v>40.861851967628034</v>
      </c>
      <c r="L173">
        <v>37.833679437058265</v>
      </c>
      <c r="M173">
        <v>35.861009251905195</v>
      </c>
    </row>
    <row r="174" spans="1:13" x14ac:dyDescent="0.45">
      <c r="A174">
        <v>14.1</v>
      </c>
      <c r="B174">
        <v>1.1000000000000001</v>
      </c>
      <c r="C174">
        <v>4.04</v>
      </c>
      <c r="D174">
        <v>114</v>
      </c>
      <c r="E174">
        <v>19.03</v>
      </c>
      <c r="F174">
        <v>1.3265305999999999</v>
      </c>
      <c r="G174">
        <v>4.59</v>
      </c>
      <c r="H174">
        <v>5.6338058000000002</v>
      </c>
      <c r="K174">
        <v>29.233535342206682</v>
      </c>
      <c r="L174">
        <v>28.295187082169505</v>
      </c>
      <c r="M174">
        <v>26.455638151425966</v>
      </c>
    </row>
    <row r="175" spans="1:13" x14ac:dyDescent="0.45">
      <c r="A175">
        <v>33.299999999999997</v>
      </c>
      <c r="B175">
        <v>1.7</v>
      </c>
      <c r="C175">
        <v>1.77</v>
      </c>
      <c r="D175">
        <v>409.98</v>
      </c>
      <c r="E175">
        <v>23.06</v>
      </c>
      <c r="F175">
        <v>1.8775816999999999</v>
      </c>
      <c r="G175">
        <v>5.14</v>
      </c>
      <c r="H175">
        <v>10.639136000000001</v>
      </c>
      <c r="K175">
        <v>111.65300298195025</v>
      </c>
      <c r="L175">
        <v>113.83791797470219</v>
      </c>
      <c r="M175">
        <v>109.23051884775624</v>
      </c>
    </row>
    <row r="176" spans="1:13" x14ac:dyDescent="0.45">
      <c r="A176">
        <v>20.9</v>
      </c>
      <c r="B176">
        <v>1.7</v>
      </c>
      <c r="C176">
        <v>1.63</v>
      </c>
      <c r="D176">
        <v>55.26</v>
      </c>
      <c r="E176">
        <v>17.600000000000001</v>
      </c>
      <c r="F176">
        <v>3.5437918000000002</v>
      </c>
      <c r="G176">
        <v>2.09</v>
      </c>
      <c r="H176">
        <v>8.5936190000000003</v>
      </c>
      <c r="K176">
        <v>26.203875931023838</v>
      </c>
      <c r="L176">
        <v>29.461711696965068</v>
      </c>
      <c r="M176">
        <v>24.10802593439578</v>
      </c>
    </row>
    <row r="177" spans="1:13" x14ac:dyDescent="0.45">
      <c r="A177">
        <v>14.4</v>
      </c>
      <c r="B177">
        <v>1.2</v>
      </c>
      <c r="C177">
        <v>6.27</v>
      </c>
      <c r="D177">
        <v>218.28</v>
      </c>
      <c r="E177">
        <v>18.66</v>
      </c>
      <c r="F177">
        <v>3.2138102000000002</v>
      </c>
      <c r="G177">
        <v>2.2999999999999998</v>
      </c>
      <c r="H177">
        <v>14.1830845</v>
      </c>
      <c r="K177">
        <v>54.033873640346656</v>
      </c>
      <c r="L177">
        <v>57.586206621309074</v>
      </c>
      <c r="M177">
        <v>46.651181307526393</v>
      </c>
    </row>
    <row r="178" spans="1:13" x14ac:dyDescent="0.45">
      <c r="A178">
        <v>49.5</v>
      </c>
      <c r="B178">
        <v>2.5</v>
      </c>
      <c r="C178">
        <v>3.35</v>
      </c>
      <c r="D178">
        <v>131.46</v>
      </c>
      <c r="E178">
        <v>37.78</v>
      </c>
      <c r="F178">
        <v>1.1283498000000001</v>
      </c>
      <c r="G178">
        <v>10.82</v>
      </c>
      <c r="H178">
        <v>3.9522583</v>
      </c>
      <c r="K178">
        <v>49.1508056075727</v>
      </c>
      <c r="L178">
        <v>48.00725188583008</v>
      </c>
      <c r="M178">
        <v>48.507567364743771</v>
      </c>
    </row>
    <row r="179" spans="1:13" x14ac:dyDescent="0.45">
      <c r="A179">
        <v>10.1</v>
      </c>
      <c r="B179">
        <v>0</v>
      </c>
      <c r="C179">
        <v>23.71</v>
      </c>
      <c r="D179">
        <v>241.06</v>
      </c>
      <c r="E179">
        <v>27.24</v>
      </c>
      <c r="F179">
        <v>2.1078234</v>
      </c>
      <c r="G179">
        <v>1.1599999999999999</v>
      </c>
      <c r="H179">
        <v>2.0991987999999999</v>
      </c>
      <c r="K179">
        <v>-3.9047580713480654</v>
      </c>
      <c r="L179">
        <v>-2.7498337458725497</v>
      </c>
      <c r="M179">
        <v>-2.3072891163577474</v>
      </c>
    </row>
    <row r="180" spans="1:13" x14ac:dyDescent="0.45">
      <c r="A180">
        <v>18</v>
      </c>
      <c r="B180">
        <v>2.7</v>
      </c>
      <c r="C180">
        <v>2.96</v>
      </c>
      <c r="D180">
        <v>56.11</v>
      </c>
      <c r="E180">
        <v>18.22</v>
      </c>
      <c r="F180">
        <v>3.3397784000000001</v>
      </c>
      <c r="G180">
        <v>1.68</v>
      </c>
      <c r="H180">
        <v>3.1134192999999999</v>
      </c>
      <c r="K180">
        <v>27.342720617933793</v>
      </c>
      <c r="L180">
        <v>30.097854028574773</v>
      </c>
      <c r="M180">
        <v>30.710908310665111</v>
      </c>
    </row>
    <row r="181" spans="1:13" x14ac:dyDescent="0.45">
      <c r="A181">
        <v>34.700000000000003</v>
      </c>
      <c r="B181">
        <v>8.5</v>
      </c>
      <c r="C181">
        <v>1.23</v>
      </c>
      <c r="D181">
        <v>35.979999999999997</v>
      </c>
      <c r="E181">
        <v>14.51</v>
      </c>
      <c r="F181">
        <v>3.8174274000000001</v>
      </c>
      <c r="G181">
        <v>1.26</v>
      </c>
      <c r="H181">
        <v>1.3933871</v>
      </c>
      <c r="K181">
        <v>80.214456779120567</v>
      </c>
      <c r="L181">
        <v>83.413883534336037</v>
      </c>
      <c r="M181">
        <v>85.828055306015685</v>
      </c>
    </row>
    <row r="182" spans="1:13" x14ac:dyDescent="0.45">
      <c r="A182">
        <v>19.7</v>
      </c>
      <c r="B182">
        <v>1.5</v>
      </c>
      <c r="C182">
        <v>1.81</v>
      </c>
      <c r="D182">
        <v>123.03</v>
      </c>
      <c r="E182">
        <v>30.99</v>
      </c>
      <c r="F182">
        <v>0.92785894999999996</v>
      </c>
      <c r="G182">
        <v>4.1399999999999997</v>
      </c>
      <c r="H182">
        <v>2.5074896999999998</v>
      </c>
      <c r="K182">
        <v>39.055296558790673</v>
      </c>
      <c r="L182">
        <v>37.535077169649647</v>
      </c>
      <c r="M182">
        <v>39.76656698413619</v>
      </c>
    </row>
    <row r="183" spans="1:13" x14ac:dyDescent="0.45">
      <c r="A183">
        <v>11</v>
      </c>
      <c r="B183">
        <v>0.7</v>
      </c>
      <c r="C183">
        <v>2.36</v>
      </c>
      <c r="D183">
        <v>60.36</v>
      </c>
      <c r="E183">
        <v>25.26</v>
      </c>
      <c r="F183">
        <v>1.3520038000000001</v>
      </c>
      <c r="G183">
        <v>5.55</v>
      </c>
      <c r="H183">
        <v>2.1903190000000001</v>
      </c>
      <c r="K183">
        <v>14.042817431349391</v>
      </c>
      <c r="L183">
        <v>12.951942890175145</v>
      </c>
      <c r="M183">
        <v>14.880920365985702</v>
      </c>
    </row>
    <row r="184" spans="1:13" x14ac:dyDescent="0.45">
      <c r="A184">
        <v>42.4</v>
      </c>
      <c r="B184">
        <v>7.3</v>
      </c>
      <c r="C184">
        <v>5.39</v>
      </c>
      <c r="D184">
        <v>73.349999999999994</v>
      </c>
      <c r="E184">
        <v>10.72</v>
      </c>
      <c r="F184">
        <v>0</v>
      </c>
      <c r="G184">
        <v>2.65</v>
      </c>
      <c r="H184">
        <v>0.57588415999999998</v>
      </c>
      <c r="K184">
        <v>73.595161771685554</v>
      </c>
      <c r="L184">
        <v>69.106747482672048</v>
      </c>
      <c r="M184">
        <v>72.131357914124678</v>
      </c>
    </row>
    <row r="185" spans="1:13" x14ac:dyDescent="0.45">
      <c r="A185">
        <v>10.1</v>
      </c>
      <c r="B185">
        <v>0.7</v>
      </c>
      <c r="C185">
        <v>2.92</v>
      </c>
      <c r="D185">
        <v>77.56</v>
      </c>
      <c r="E185">
        <v>18.12</v>
      </c>
      <c r="F185">
        <v>3.879632</v>
      </c>
      <c r="G185">
        <v>4.54</v>
      </c>
      <c r="H185">
        <v>12.204818</v>
      </c>
      <c r="K185">
        <v>21.863682521577939</v>
      </c>
      <c r="L185">
        <v>25.974921803542603</v>
      </c>
      <c r="M185">
        <v>16.583944086443768</v>
      </c>
    </row>
    <row r="186" spans="1:13" x14ac:dyDescent="0.45">
      <c r="A186">
        <v>326.10000000000002</v>
      </c>
      <c r="B186">
        <v>39.1</v>
      </c>
      <c r="C186">
        <v>1.88</v>
      </c>
      <c r="D186">
        <v>76.069999999999993</v>
      </c>
      <c r="E186">
        <v>21.37</v>
      </c>
      <c r="F186">
        <v>4.0031195000000004</v>
      </c>
      <c r="G186">
        <v>1.85</v>
      </c>
      <c r="H186">
        <v>1.7701944000000001</v>
      </c>
      <c r="K186">
        <v>387.50032329514028</v>
      </c>
      <c r="L186">
        <v>389.18822118624871</v>
      </c>
      <c r="M186">
        <v>390.56961377803935</v>
      </c>
    </row>
    <row r="187" spans="1:13" x14ac:dyDescent="0.45">
      <c r="A187">
        <v>8.6999999999999993</v>
      </c>
      <c r="B187">
        <v>0.6</v>
      </c>
      <c r="C187">
        <v>6.51</v>
      </c>
      <c r="D187">
        <v>137.25</v>
      </c>
      <c r="E187">
        <v>21.21</v>
      </c>
      <c r="F187">
        <v>0</v>
      </c>
      <c r="G187">
        <v>6.86</v>
      </c>
      <c r="H187">
        <v>4.1203604</v>
      </c>
      <c r="K187">
        <v>25.043019461819451</v>
      </c>
      <c r="L187">
        <v>21.506516660671057</v>
      </c>
      <c r="M187">
        <v>21.247006198377687</v>
      </c>
    </row>
    <row r="188" spans="1:13" x14ac:dyDescent="0.45">
      <c r="A188">
        <v>523.4</v>
      </c>
      <c r="B188">
        <v>23.6</v>
      </c>
      <c r="C188">
        <v>5.39</v>
      </c>
      <c r="D188">
        <v>171.58</v>
      </c>
      <c r="E188">
        <v>27.9</v>
      </c>
      <c r="F188">
        <v>0</v>
      </c>
      <c r="G188">
        <v>7.08</v>
      </c>
      <c r="H188">
        <v>13.241967000000001</v>
      </c>
      <c r="K188">
        <v>271.16792895896282</v>
      </c>
      <c r="L188">
        <v>266.28266853379733</v>
      </c>
      <c r="M188">
        <v>255.5739510165528</v>
      </c>
    </row>
    <row r="189" spans="1:13" x14ac:dyDescent="0.45">
      <c r="A189">
        <v>15.3</v>
      </c>
      <c r="B189">
        <v>1</v>
      </c>
      <c r="C189">
        <v>2.0099999999999998</v>
      </c>
      <c r="D189">
        <v>52.15</v>
      </c>
      <c r="E189">
        <v>27.02</v>
      </c>
      <c r="F189">
        <v>2.7798647999999999</v>
      </c>
      <c r="G189">
        <v>7.39</v>
      </c>
      <c r="H189">
        <v>3.4729770000000002</v>
      </c>
      <c r="K189">
        <v>14.686312694906626</v>
      </c>
      <c r="L189">
        <v>16.470106523862505</v>
      </c>
      <c r="M189">
        <v>16.948083754316315</v>
      </c>
    </row>
    <row r="190" spans="1:13" x14ac:dyDescent="0.45">
      <c r="A190">
        <v>8.1</v>
      </c>
      <c r="B190">
        <v>0.5</v>
      </c>
      <c r="C190">
        <v>3.5</v>
      </c>
      <c r="D190">
        <v>108.11</v>
      </c>
      <c r="E190">
        <v>18.350000000000001</v>
      </c>
      <c r="F190">
        <v>3.5925992</v>
      </c>
      <c r="G190">
        <v>3.98</v>
      </c>
      <c r="H190">
        <v>12.898600999999999</v>
      </c>
      <c r="K190">
        <v>26.782361218409619</v>
      </c>
      <c r="L190">
        <v>30.506961172367905</v>
      </c>
      <c r="M190">
        <v>20.515453698522368</v>
      </c>
    </row>
    <row r="191" spans="1:13" x14ac:dyDescent="0.45">
      <c r="A191">
        <v>67.3</v>
      </c>
      <c r="B191">
        <v>8.1</v>
      </c>
      <c r="C191">
        <v>11.07</v>
      </c>
      <c r="D191">
        <v>239.27</v>
      </c>
      <c r="E191">
        <v>19.45</v>
      </c>
      <c r="F191">
        <v>0.79633679999999996</v>
      </c>
      <c r="G191">
        <v>3.9</v>
      </c>
      <c r="H191">
        <v>1.0751683999999999</v>
      </c>
      <c r="K191">
        <v>105.16076818719239</v>
      </c>
      <c r="L191">
        <v>103.26850666472399</v>
      </c>
      <c r="M191">
        <v>106.37878164650667</v>
      </c>
    </row>
    <row r="192" spans="1:13" x14ac:dyDescent="0.45">
      <c r="A192">
        <v>32.299999999999997</v>
      </c>
      <c r="B192">
        <v>2.8</v>
      </c>
      <c r="C192">
        <v>1.72</v>
      </c>
      <c r="D192">
        <v>92.74</v>
      </c>
      <c r="E192">
        <v>22.08</v>
      </c>
      <c r="F192">
        <v>1.322724</v>
      </c>
      <c r="G192">
        <v>3.25</v>
      </c>
      <c r="H192">
        <v>4.7038416999999999</v>
      </c>
      <c r="K192">
        <v>45.827437819012395</v>
      </c>
      <c r="L192">
        <v>44.730688127150017</v>
      </c>
      <c r="M192">
        <v>44.090125851989711</v>
      </c>
    </row>
    <row r="193" spans="1:13" x14ac:dyDescent="0.45">
      <c r="A193">
        <v>22.4</v>
      </c>
      <c r="B193">
        <v>0</v>
      </c>
      <c r="C193">
        <v>2.85</v>
      </c>
      <c r="D193">
        <v>31.1</v>
      </c>
      <c r="E193">
        <v>16.899999999999999</v>
      </c>
      <c r="F193">
        <v>1.9789734000000001</v>
      </c>
      <c r="G193">
        <v>1.46</v>
      </c>
      <c r="H193">
        <v>2.8802848000000001</v>
      </c>
      <c r="K193">
        <v>-1.9973195785536517</v>
      </c>
      <c r="L193">
        <v>-2.0193258304153092</v>
      </c>
      <c r="M193">
        <v>-1.2728413346008778</v>
      </c>
    </row>
    <row r="194" spans="1:13" x14ac:dyDescent="0.45">
      <c r="A194">
        <v>13.7</v>
      </c>
      <c r="B194">
        <v>-5.0999999999999996</v>
      </c>
      <c r="C194">
        <v>-14.49</v>
      </c>
      <c r="D194">
        <v>30.64</v>
      </c>
      <c r="E194">
        <v>11.18</v>
      </c>
      <c r="F194">
        <v>4.673807</v>
      </c>
      <c r="G194">
        <v>2.19</v>
      </c>
      <c r="H194">
        <v>1.2994481</v>
      </c>
      <c r="K194">
        <v>-19.233962755634739</v>
      </c>
      <c r="L194">
        <v>-12.930343840409655</v>
      </c>
      <c r="M194">
        <v>-7.7494328121980365</v>
      </c>
    </row>
    <row r="195" spans="1:13" x14ac:dyDescent="0.45">
      <c r="A195">
        <v>26.9</v>
      </c>
      <c r="B195">
        <v>1.9</v>
      </c>
      <c r="C195">
        <v>4.1399999999999997</v>
      </c>
      <c r="D195">
        <v>133.05000000000001</v>
      </c>
      <c r="E195">
        <v>27.32</v>
      </c>
      <c r="F195">
        <v>0</v>
      </c>
      <c r="G195">
        <v>11.54</v>
      </c>
      <c r="H195">
        <v>6.518713</v>
      </c>
      <c r="K195">
        <v>45.812491841865238</v>
      </c>
      <c r="L195">
        <v>42.250769443394141</v>
      </c>
      <c r="M195">
        <v>39.639915164024018</v>
      </c>
    </row>
    <row r="196" spans="1:13" x14ac:dyDescent="0.45">
      <c r="A196">
        <v>6.7</v>
      </c>
      <c r="B196">
        <v>0.4</v>
      </c>
      <c r="C196">
        <v>1.21</v>
      </c>
      <c r="D196">
        <v>46.46</v>
      </c>
      <c r="E196">
        <v>25.53</v>
      </c>
      <c r="F196">
        <v>1.2396693999999999</v>
      </c>
      <c r="G196">
        <v>3.52</v>
      </c>
      <c r="H196">
        <v>5.1379609999999998</v>
      </c>
      <c r="K196">
        <v>14.27490947760551</v>
      </c>
      <c r="L196">
        <v>12.928352403446578</v>
      </c>
      <c r="M196">
        <v>11.598896298701035</v>
      </c>
    </row>
    <row r="197" spans="1:13" x14ac:dyDescent="0.45">
      <c r="A197">
        <v>5.4</v>
      </c>
      <c r="B197">
        <v>0.5</v>
      </c>
      <c r="C197">
        <v>1.1200000000000001</v>
      </c>
      <c r="D197">
        <v>40.82</v>
      </c>
      <c r="E197">
        <v>26.17</v>
      </c>
      <c r="F197">
        <v>1.8291215999999999</v>
      </c>
      <c r="G197">
        <v>3.15</v>
      </c>
      <c r="H197">
        <v>2.0803037</v>
      </c>
      <c r="K197">
        <v>9.6056351070585961</v>
      </c>
      <c r="L197">
        <v>9.4456973265290305</v>
      </c>
      <c r="M197">
        <v>11.534705919265996</v>
      </c>
    </row>
    <row r="198" spans="1:13" x14ac:dyDescent="0.45">
      <c r="A198">
        <v>8</v>
      </c>
      <c r="B198">
        <v>0.7</v>
      </c>
      <c r="C198">
        <v>1.99</v>
      </c>
      <c r="D198">
        <v>55.31</v>
      </c>
      <c r="E198">
        <v>19.899999999999999</v>
      </c>
      <c r="F198">
        <v>1.4726508</v>
      </c>
      <c r="G198">
        <v>2.4</v>
      </c>
      <c r="H198">
        <v>0.55164020000000002</v>
      </c>
      <c r="K198">
        <v>11.041539690883178</v>
      </c>
      <c r="L198">
        <v>10.141864864793792</v>
      </c>
      <c r="M198">
        <v>13.863179194238182</v>
      </c>
    </row>
    <row r="199" spans="1:13" x14ac:dyDescent="0.45">
      <c r="A199">
        <v>11.3</v>
      </c>
      <c r="B199">
        <v>0.6</v>
      </c>
      <c r="C199">
        <v>1.56</v>
      </c>
      <c r="D199">
        <v>80.87</v>
      </c>
      <c r="E199">
        <v>32.479999999999997</v>
      </c>
      <c r="F199">
        <v>0.785995</v>
      </c>
      <c r="G199">
        <v>5.26</v>
      </c>
      <c r="H199">
        <v>6.0089034999999997</v>
      </c>
      <c r="K199">
        <v>25.838424613159123</v>
      </c>
      <c r="L199">
        <v>23.824194136681211</v>
      </c>
      <c r="M199">
        <v>21.833707219438395</v>
      </c>
    </row>
    <row r="200" spans="1:13" x14ac:dyDescent="0.45">
      <c r="A200">
        <v>42.4</v>
      </c>
      <c r="B200">
        <v>9.3000000000000007</v>
      </c>
      <c r="C200">
        <v>1.9</v>
      </c>
      <c r="D200">
        <v>10.43</v>
      </c>
      <c r="E200">
        <v>5.89</v>
      </c>
      <c r="F200">
        <v>6.7843866000000004</v>
      </c>
      <c r="G200">
        <v>1.26</v>
      </c>
      <c r="H200">
        <v>0.27054095</v>
      </c>
      <c r="K200">
        <v>72.379820416509119</v>
      </c>
      <c r="L200">
        <v>81.341447617137916</v>
      </c>
      <c r="M200">
        <v>84.572792915619374</v>
      </c>
    </row>
    <row r="201" spans="1:13" x14ac:dyDescent="0.45">
      <c r="A201">
        <v>24.9</v>
      </c>
      <c r="B201">
        <v>1.5</v>
      </c>
      <c r="C201">
        <v>2.46</v>
      </c>
      <c r="D201">
        <v>69.14</v>
      </c>
      <c r="E201">
        <v>25.05</v>
      </c>
      <c r="F201">
        <v>0.39057051999999998</v>
      </c>
      <c r="G201">
        <v>7.17</v>
      </c>
      <c r="H201">
        <v>5.1682673000000001</v>
      </c>
      <c r="K201">
        <v>28.919302844337551</v>
      </c>
      <c r="L201">
        <v>25.827771674073123</v>
      </c>
      <c r="M201">
        <v>24.431127242142828</v>
      </c>
    </row>
    <row r="202" spans="1:13" x14ac:dyDescent="0.45">
      <c r="A202">
        <v>9.6</v>
      </c>
      <c r="B202">
        <v>0.8</v>
      </c>
      <c r="C202">
        <v>3.04</v>
      </c>
      <c r="D202">
        <v>62.44</v>
      </c>
      <c r="E202">
        <v>20.27</v>
      </c>
      <c r="F202">
        <v>1.2618296</v>
      </c>
      <c r="G202">
        <v>3.76</v>
      </c>
      <c r="H202">
        <v>1.8434572</v>
      </c>
      <c r="K202">
        <v>13.096577783455038</v>
      </c>
      <c r="L202">
        <v>11.764931529345159</v>
      </c>
      <c r="M202">
        <v>13.935840801137829</v>
      </c>
    </row>
    <row r="203" spans="1:13" x14ac:dyDescent="0.45">
      <c r="A203">
        <v>21.8</v>
      </c>
      <c r="B203">
        <v>2.7</v>
      </c>
      <c r="C203">
        <v>3</v>
      </c>
      <c r="D203">
        <v>38</v>
      </c>
      <c r="E203">
        <v>12.67</v>
      </c>
      <c r="F203">
        <v>2.3326570000000002</v>
      </c>
      <c r="G203">
        <v>1.83</v>
      </c>
      <c r="H203">
        <v>3.3991009999999999</v>
      </c>
      <c r="K203">
        <v>24.95246326704298</v>
      </c>
      <c r="L203">
        <v>25.451919392898173</v>
      </c>
      <c r="M203">
        <v>25.513525331352131</v>
      </c>
    </row>
    <row r="204" spans="1:13" x14ac:dyDescent="0.45">
      <c r="A204">
        <v>25.9</v>
      </c>
      <c r="B204">
        <v>5.3</v>
      </c>
      <c r="C204">
        <v>1.24</v>
      </c>
      <c r="D204">
        <v>17.16</v>
      </c>
      <c r="E204">
        <v>14.67</v>
      </c>
      <c r="F204">
        <v>1.1198208000000001</v>
      </c>
      <c r="G204">
        <v>3.66</v>
      </c>
      <c r="H204">
        <v>1.6538345000000001</v>
      </c>
      <c r="K204">
        <v>50.589183958265338</v>
      </c>
      <c r="L204">
        <v>48.331811484777944</v>
      </c>
      <c r="M204">
        <v>50.391454351414261</v>
      </c>
    </row>
    <row r="205" spans="1:13" x14ac:dyDescent="0.45">
      <c r="A205">
        <v>12.7</v>
      </c>
      <c r="B205">
        <v>2</v>
      </c>
      <c r="C205">
        <v>1.69</v>
      </c>
      <c r="D205">
        <v>31.17</v>
      </c>
      <c r="E205">
        <v>15.35</v>
      </c>
      <c r="F205">
        <v>2.8203556999999999</v>
      </c>
      <c r="G205">
        <v>3.93</v>
      </c>
      <c r="H205">
        <v>1.1289738</v>
      </c>
      <c r="K205">
        <v>16.413866017114888</v>
      </c>
      <c r="L205">
        <v>17.978046661832391</v>
      </c>
      <c r="M205">
        <v>20.791158110891718</v>
      </c>
    </row>
    <row r="206" spans="1:13" x14ac:dyDescent="0.45">
      <c r="A206">
        <v>11.8</v>
      </c>
      <c r="B206">
        <v>0.7</v>
      </c>
      <c r="C206">
        <v>2.69</v>
      </c>
      <c r="D206">
        <v>61.13</v>
      </c>
      <c r="E206">
        <v>21.23</v>
      </c>
      <c r="F206">
        <v>3.2339885000000002</v>
      </c>
      <c r="G206">
        <v>3.14</v>
      </c>
      <c r="H206">
        <v>5.3198809999999996</v>
      </c>
      <c r="K206">
        <v>12.624096026932309</v>
      </c>
      <c r="L206">
        <v>15.365584085831676</v>
      </c>
      <c r="M206">
        <v>13.672368880822411</v>
      </c>
    </row>
    <row r="207" spans="1:13" x14ac:dyDescent="0.45">
      <c r="A207">
        <v>10.8</v>
      </c>
      <c r="B207">
        <v>0.2</v>
      </c>
      <c r="C207">
        <v>2.31</v>
      </c>
      <c r="D207">
        <v>114.26</v>
      </c>
      <c r="E207">
        <v>36.86</v>
      </c>
      <c r="F207">
        <v>0</v>
      </c>
      <c r="G207">
        <v>13.47</v>
      </c>
      <c r="H207">
        <v>4.8944989999999997</v>
      </c>
      <c r="K207">
        <v>28.566060355407416</v>
      </c>
      <c r="L207">
        <v>25.152539641215881</v>
      </c>
      <c r="M207">
        <v>24.657770387668172</v>
      </c>
    </row>
    <row r="208" spans="1:13" x14ac:dyDescent="0.45">
      <c r="A208">
        <v>64.2</v>
      </c>
      <c r="B208">
        <v>4.5999999999999996</v>
      </c>
      <c r="C208">
        <v>9.5500000000000007</v>
      </c>
      <c r="D208">
        <v>206.05</v>
      </c>
      <c r="E208">
        <v>20.71</v>
      </c>
      <c r="F208">
        <v>1.5631542</v>
      </c>
      <c r="G208">
        <v>5.45</v>
      </c>
      <c r="H208">
        <v>2.0481362000000001</v>
      </c>
      <c r="K208">
        <v>66.770786202974676</v>
      </c>
      <c r="L208">
        <v>66.53430400593362</v>
      </c>
      <c r="M208">
        <v>68.614577457293777</v>
      </c>
    </row>
    <row r="209" spans="1:13" x14ac:dyDescent="0.45">
      <c r="A209">
        <v>132.19999999999999</v>
      </c>
      <c r="B209">
        <v>-0.2</v>
      </c>
      <c r="C209">
        <v>-0.72</v>
      </c>
      <c r="D209">
        <v>14.45</v>
      </c>
      <c r="E209">
        <v>13.76</v>
      </c>
      <c r="F209">
        <v>3.1475409999999999</v>
      </c>
      <c r="G209">
        <v>1.7</v>
      </c>
      <c r="H209">
        <v>1.0887610999999999</v>
      </c>
      <c r="K209">
        <v>-4.0889369600044772</v>
      </c>
      <c r="L209">
        <v>-1.7362916000920989</v>
      </c>
      <c r="M209">
        <v>1.385304917231424</v>
      </c>
    </row>
    <row r="210" spans="1:13" x14ac:dyDescent="0.45">
      <c r="A210">
        <v>21</v>
      </c>
      <c r="B210">
        <v>1.7</v>
      </c>
      <c r="C210">
        <v>1.34</v>
      </c>
      <c r="D210">
        <v>21.62</v>
      </c>
      <c r="E210">
        <v>13.86</v>
      </c>
      <c r="F210">
        <v>4.0054619999999996</v>
      </c>
      <c r="G210">
        <v>2.57</v>
      </c>
      <c r="H210">
        <v>17.003776999999999</v>
      </c>
      <c r="K210">
        <v>27.479149703554633</v>
      </c>
      <c r="L210">
        <v>31.411859012420706</v>
      </c>
      <c r="M210">
        <v>16.285572901011122</v>
      </c>
    </row>
    <row r="211" spans="1:13" x14ac:dyDescent="0.45">
      <c r="A211">
        <v>31.1</v>
      </c>
      <c r="B211">
        <v>3.1</v>
      </c>
      <c r="C211">
        <v>2.77</v>
      </c>
      <c r="D211">
        <v>53.99</v>
      </c>
      <c r="E211">
        <v>17.53</v>
      </c>
      <c r="F211">
        <v>3.5864593999999999</v>
      </c>
      <c r="G211">
        <v>7.26</v>
      </c>
      <c r="H211">
        <v>2.0389178000000001</v>
      </c>
      <c r="K211">
        <v>29.463750985122637</v>
      </c>
      <c r="L211">
        <v>32.641348213887127</v>
      </c>
      <c r="M211">
        <v>34.45530162647735</v>
      </c>
    </row>
    <row r="212" spans="1:13" x14ac:dyDescent="0.45">
      <c r="A212">
        <v>61.5</v>
      </c>
      <c r="B212">
        <v>23.5</v>
      </c>
      <c r="C212">
        <v>6</v>
      </c>
      <c r="D212">
        <v>40.75</v>
      </c>
      <c r="E212">
        <v>6.58</v>
      </c>
      <c r="F212">
        <v>3.5857513000000001</v>
      </c>
      <c r="G212">
        <v>1.33</v>
      </c>
      <c r="H212">
        <v>0.56332179999999998</v>
      </c>
      <c r="K212">
        <v>215.2880715836188</v>
      </c>
      <c r="L212">
        <v>216.73610105353393</v>
      </c>
      <c r="M212">
        <v>218.85971222754554</v>
      </c>
    </row>
    <row r="213" spans="1:13" x14ac:dyDescent="0.45">
      <c r="A213">
        <v>14.6</v>
      </c>
      <c r="B213">
        <v>1.2</v>
      </c>
      <c r="C213">
        <v>4.5999999999999996</v>
      </c>
      <c r="D213">
        <v>96.31</v>
      </c>
      <c r="E213">
        <v>21.17</v>
      </c>
      <c r="F213">
        <v>2.7198547999999998</v>
      </c>
      <c r="G213">
        <v>4.33</v>
      </c>
      <c r="H213">
        <v>1.2122360000000001</v>
      </c>
      <c r="K213">
        <v>17.321904044850761</v>
      </c>
      <c r="L213">
        <v>19.145201882393184</v>
      </c>
      <c r="M213">
        <v>22.082537161215566</v>
      </c>
    </row>
    <row r="214" spans="1:13" x14ac:dyDescent="0.45">
      <c r="A214">
        <v>108.1</v>
      </c>
      <c r="B214">
        <v>17.600000000000001</v>
      </c>
      <c r="C214">
        <v>9.9499999999999993</v>
      </c>
      <c r="D214">
        <v>78.22</v>
      </c>
      <c r="E214">
        <v>8.16</v>
      </c>
      <c r="F214">
        <v>2.7549540000000001</v>
      </c>
      <c r="G214">
        <v>4.12</v>
      </c>
      <c r="H214">
        <v>5.2087463999999999</v>
      </c>
      <c r="K214">
        <v>163.91533378429017</v>
      </c>
      <c r="L214">
        <v>164.20379664435981</v>
      </c>
      <c r="M214">
        <v>161.02140975833316</v>
      </c>
    </row>
    <row r="215" spans="1:13" x14ac:dyDescent="0.45">
      <c r="A215">
        <v>16.899999999999999</v>
      </c>
      <c r="B215">
        <v>1</v>
      </c>
      <c r="C215">
        <v>1.58</v>
      </c>
      <c r="D215">
        <v>100.59</v>
      </c>
      <c r="E215">
        <v>27.86</v>
      </c>
      <c r="F215">
        <v>3.7622272999999998E-2</v>
      </c>
      <c r="G215">
        <v>4.7300000000000004</v>
      </c>
      <c r="H215">
        <v>5.7758330000000004</v>
      </c>
      <c r="K215">
        <v>34.854075508260074</v>
      </c>
      <c r="L215">
        <v>31.352305073850879</v>
      </c>
      <c r="M215">
        <v>29.718215443829585</v>
      </c>
    </row>
    <row r="216" spans="1:13" x14ac:dyDescent="0.45">
      <c r="A216">
        <v>97</v>
      </c>
      <c r="B216">
        <v>0</v>
      </c>
      <c r="C216">
        <v>8.61</v>
      </c>
      <c r="D216">
        <v>246.35</v>
      </c>
      <c r="E216">
        <v>12.44</v>
      </c>
      <c r="F216">
        <v>1.1668612</v>
      </c>
      <c r="G216">
        <v>1.25</v>
      </c>
      <c r="H216">
        <v>2.309415</v>
      </c>
      <c r="K216">
        <v>33.175365075483064</v>
      </c>
      <c r="L216">
        <v>32.683185678099456</v>
      </c>
      <c r="M216">
        <v>34.986300728565695</v>
      </c>
    </row>
    <row r="217" spans="1:13" x14ac:dyDescent="0.45">
      <c r="A217">
        <v>8.1999999999999993</v>
      </c>
      <c r="B217">
        <v>2</v>
      </c>
      <c r="C217">
        <v>4.74</v>
      </c>
      <c r="D217">
        <v>30.75</v>
      </c>
      <c r="E217">
        <v>9.92</v>
      </c>
      <c r="F217">
        <v>1.6731402</v>
      </c>
      <c r="G217">
        <v>1.65</v>
      </c>
      <c r="H217">
        <v>0.72725976000000003</v>
      </c>
      <c r="K217">
        <v>10.428577415242721</v>
      </c>
      <c r="L217">
        <v>9.5013589170214949</v>
      </c>
      <c r="M217">
        <v>12.243115421237253</v>
      </c>
    </row>
    <row r="218" spans="1:13" x14ac:dyDescent="0.45">
      <c r="A218">
        <v>14.6</v>
      </c>
      <c r="B218">
        <v>1.3</v>
      </c>
      <c r="C218">
        <v>10.02</v>
      </c>
      <c r="D218">
        <v>258.60000000000002</v>
      </c>
      <c r="E218">
        <v>22.57</v>
      </c>
      <c r="F218">
        <v>1.9700643</v>
      </c>
      <c r="G218">
        <v>8.1</v>
      </c>
      <c r="H218">
        <v>1.3995146000000001</v>
      </c>
      <c r="K218">
        <v>43.84828377004122</v>
      </c>
      <c r="L218">
        <v>45.02055524987383</v>
      </c>
      <c r="M218">
        <v>48.332230691740065</v>
      </c>
    </row>
    <row r="219" spans="1:13" x14ac:dyDescent="0.45">
      <c r="A219">
        <v>43.4</v>
      </c>
      <c r="B219">
        <v>2.9</v>
      </c>
      <c r="C219">
        <v>-0.53</v>
      </c>
      <c r="D219">
        <v>47.41</v>
      </c>
      <c r="E219">
        <v>38.86</v>
      </c>
      <c r="F219">
        <v>1.4489837000000001</v>
      </c>
      <c r="G219">
        <v>4.74</v>
      </c>
      <c r="H219">
        <v>2.1424224000000001</v>
      </c>
      <c r="K219">
        <v>40.725798995317291</v>
      </c>
      <c r="L219">
        <v>39.832277034485749</v>
      </c>
      <c r="M219">
        <v>42.238206802828671</v>
      </c>
    </row>
    <row r="220" spans="1:13" x14ac:dyDescent="0.45">
      <c r="A220">
        <v>8</v>
      </c>
      <c r="B220">
        <v>0.9</v>
      </c>
      <c r="C220">
        <v>1.41</v>
      </c>
      <c r="D220">
        <v>19.57</v>
      </c>
      <c r="E220">
        <v>10.039999999999999</v>
      </c>
      <c r="F220">
        <v>2.7322403999999998</v>
      </c>
      <c r="G220">
        <v>6.17</v>
      </c>
      <c r="H220">
        <v>1.6339767999999999</v>
      </c>
      <c r="K220">
        <v>3.8838493726439505</v>
      </c>
      <c r="L220">
        <v>5.2001139683921052</v>
      </c>
      <c r="M220">
        <v>7.3537964777518319</v>
      </c>
    </row>
    <row r="221" spans="1:13" x14ac:dyDescent="0.45">
      <c r="A221">
        <v>8.1999999999999993</v>
      </c>
      <c r="B221">
        <v>1.1000000000000001</v>
      </c>
      <c r="C221">
        <v>2.98</v>
      </c>
      <c r="D221">
        <v>47.54</v>
      </c>
      <c r="E221">
        <v>13.7</v>
      </c>
      <c r="F221">
        <v>3.0218647000000001</v>
      </c>
      <c r="G221">
        <v>4.3099999999999996</v>
      </c>
      <c r="H221">
        <v>1.66195</v>
      </c>
      <c r="K221">
        <v>8.2577896964640711</v>
      </c>
      <c r="L221">
        <v>10.349842491457277</v>
      </c>
      <c r="M221">
        <v>12.516088305556231</v>
      </c>
    </row>
    <row r="222" spans="1:13" x14ac:dyDescent="0.45">
      <c r="A222">
        <v>18.100000000000001</v>
      </c>
      <c r="B222">
        <v>1.4</v>
      </c>
      <c r="C222">
        <v>4.43</v>
      </c>
      <c r="D222">
        <v>149.84</v>
      </c>
      <c r="E222">
        <v>26.38</v>
      </c>
      <c r="F222">
        <v>1.4922442</v>
      </c>
      <c r="G222">
        <v>5.88</v>
      </c>
      <c r="H222">
        <v>2.9516637000000001</v>
      </c>
      <c r="K222">
        <v>36.755739498863399</v>
      </c>
      <c r="L222">
        <v>36.439385620498477</v>
      </c>
      <c r="M222">
        <v>37.953510561070772</v>
      </c>
    </row>
    <row r="223" spans="1:13" x14ac:dyDescent="0.45">
      <c r="A223">
        <v>19.899999999999999</v>
      </c>
      <c r="B223">
        <v>0</v>
      </c>
      <c r="C223">
        <v>2.27</v>
      </c>
      <c r="D223">
        <v>53.34</v>
      </c>
      <c r="E223">
        <v>14.34</v>
      </c>
      <c r="F223">
        <v>1.7901897</v>
      </c>
      <c r="G223">
        <v>1.1499999999999999</v>
      </c>
      <c r="H223">
        <v>1.3939538</v>
      </c>
      <c r="K223">
        <v>2.7534956695023807</v>
      </c>
      <c r="L223">
        <v>2.4811963872319138</v>
      </c>
      <c r="M223">
        <v>5.1458393785660128</v>
      </c>
    </row>
    <row r="224" spans="1:13" x14ac:dyDescent="0.45">
      <c r="A224">
        <v>12.7</v>
      </c>
      <c r="B224">
        <v>1</v>
      </c>
      <c r="C224">
        <v>4.34</v>
      </c>
      <c r="D224">
        <v>96.48</v>
      </c>
      <c r="E224">
        <v>20.57</v>
      </c>
      <c r="F224">
        <v>2.2304832999999999</v>
      </c>
      <c r="G224">
        <v>5.82</v>
      </c>
      <c r="H224">
        <v>3.2375680999999998</v>
      </c>
      <c r="K224">
        <v>19.251972737305358</v>
      </c>
      <c r="L224">
        <v>20.069790090939886</v>
      </c>
      <c r="M224">
        <v>20.76187440350283</v>
      </c>
    </row>
    <row r="225" spans="1:13" x14ac:dyDescent="0.45">
      <c r="A225">
        <v>11</v>
      </c>
      <c r="B225">
        <v>1.4</v>
      </c>
      <c r="C225">
        <v>1.33</v>
      </c>
      <c r="D225">
        <v>22.64</v>
      </c>
      <c r="E225">
        <v>10.99</v>
      </c>
      <c r="F225">
        <v>6.3301970000000001</v>
      </c>
      <c r="G225">
        <v>1.97</v>
      </c>
      <c r="H225">
        <v>8.1271090000000008</v>
      </c>
      <c r="K225">
        <v>9.6571129227664372</v>
      </c>
      <c r="L225">
        <v>18.388617027167061</v>
      </c>
      <c r="M225">
        <v>13.255012039080729</v>
      </c>
    </row>
    <row r="226" spans="1:13" x14ac:dyDescent="0.45">
      <c r="A226">
        <v>7.3</v>
      </c>
      <c r="B226">
        <v>0.5</v>
      </c>
      <c r="C226">
        <v>-1.2</v>
      </c>
      <c r="D226">
        <v>64.87</v>
      </c>
      <c r="E226">
        <v>-54.51</v>
      </c>
      <c r="F226">
        <v>4.1499924999999998</v>
      </c>
      <c r="G226">
        <v>1.62</v>
      </c>
      <c r="H226">
        <v>3.7385861999999999</v>
      </c>
      <c r="K226">
        <v>8.2409967467864575</v>
      </c>
      <c r="L226">
        <v>12.16775704555041</v>
      </c>
      <c r="M226">
        <v>11.917530780182179</v>
      </c>
    </row>
    <row r="227" spans="1:13" x14ac:dyDescent="0.45">
      <c r="A227">
        <v>11.5</v>
      </c>
      <c r="B227">
        <v>1</v>
      </c>
      <c r="C227">
        <v>3.1</v>
      </c>
      <c r="D227">
        <v>70.849999999999994</v>
      </c>
      <c r="E227">
        <v>19.850000000000001</v>
      </c>
      <c r="F227">
        <v>0</v>
      </c>
      <c r="G227">
        <v>3.74</v>
      </c>
      <c r="H227">
        <v>1.262194</v>
      </c>
      <c r="K227">
        <v>18.682341810598977</v>
      </c>
      <c r="L227">
        <v>14.791072956663674</v>
      </c>
      <c r="M227">
        <v>17.668348028220322</v>
      </c>
    </row>
    <row r="228" spans="1:13" x14ac:dyDescent="0.45">
      <c r="A228">
        <v>14</v>
      </c>
      <c r="B228">
        <v>-0.8</v>
      </c>
      <c r="C228">
        <v>-19.940000000000001</v>
      </c>
      <c r="D228">
        <v>43</v>
      </c>
      <c r="E228">
        <v>-9.33</v>
      </c>
      <c r="F228">
        <v>2.2670596000000001</v>
      </c>
      <c r="G228">
        <v>1.08</v>
      </c>
      <c r="H228">
        <v>3.780475</v>
      </c>
      <c r="K228">
        <v>43.719785061599012</v>
      </c>
      <c r="L228">
        <v>44.766927817341674</v>
      </c>
      <c r="M228">
        <v>47.672815158458263</v>
      </c>
    </row>
    <row r="229" spans="1:13" x14ac:dyDescent="0.45">
      <c r="A229">
        <v>24.8</v>
      </c>
      <c r="B229">
        <v>3.7</v>
      </c>
      <c r="C229">
        <v>0.21</v>
      </c>
      <c r="D229">
        <v>15.04</v>
      </c>
      <c r="E229">
        <v>11.57</v>
      </c>
      <c r="F229">
        <v>1.9280206</v>
      </c>
      <c r="G229">
        <v>1.06</v>
      </c>
      <c r="H229">
        <v>1.4609766</v>
      </c>
      <c r="K229">
        <v>34.641157743565635</v>
      </c>
      <c r="L229">
        <v>34.161006885310123</v>
      </c>
      <c r="M229">
        <v>36.582857704437849</v>
      </c>
    </row>
    <row r="230" spans="1:13" x14ac:dyDescent="0.45">
      <c r="A230">
        <v>26.2</v>
      </c>
      <c r="B230">
        <v>2.8</v>
      </c>
      <c r="C230">
        <v>1.05</v>
      </c>
      <c r="D230">
        <v>78.66</v>
      </c>
      <c r="E230">
        <v>36.42</v>
      </c>
      <c r="F230">
        <v>0.73152890000000004</v>
      </c>
      <c r="G230">
        <v>17.670000000000002</v>
      </c>
      <c r="H230">
        <v>3.7628452999999999</v>
      </c>
      <c r="K230">
        <v>46.157781950368552</v>
      </c>
      <c r="L230">
        <v>43.828940644095084</v>
      </c>
      <c r="M230">
        <v>44.410341392446803</v>
      </c>
    </row>
    <row r="231" spans="1:13" x14ac:dyDescent="0.45">
      <c r="A231">
        <v>11.2</v>
      </c>
      <c r="B231">
        <v>1.6</v>
      </c>
      <c r="C231">
        <v>2.64</v>
      </c>
      <c r="D231">
        <v>38.799999999999997</v>
      </c>
      <c r="E231">
        <v>19.21</v>
      </c>
      <c r="F231">
        <v>0</v>
      </c>
      <c r="G231">
        <v>4</v>
      </c>
      <c r="H231">
        <v>4.80335</v>
      </c>
      <c r="K231">
        <v>22.379521108013666</v>
      </c>
      <c r="L231">
        <v>18.231841258242127</v>
      </c>
      <c r="M231">
        <v>16.886298512062023</v>
      </c>
    </row>
    <row r="232" spans="1:13" x14ac:dyDescent="0.45">
      <c r="A232">
        <v>223.4</v>
      </c>
      <c r="B232">
        <v>16.5</v>
      </c>
      <c r="C232">
        <v>6.46</v>
      </c>
      <c r="D232">
        <v>181.22</v>
      </c>
      <c r="E232">
        <v>28.1</v>
      </c>
      <c r="F232">
        <v>1.8610487</v>
      </c>
      <c r="G232">
        <v>84.08</v>
      </c>
      <c r="H232">
        <v>2.8964398</v>
      </c>
      <c r="K232">
        <v>186.523438589015</v>
      </c>
      <c r="L232">
        <v>185.45931730731482</v>
      </c>
      <c r="M232">
        <v>186.55950354023906</v>
      </c>
    </row>
    <row r="233" spans="1:13" x14ac:dyDescent="0.45">
      <c r="A233">
        <v>114.4</v>
      </c>
      <c r="B233">
        <v>8.3000000000000007</v>
      </c>
      <c r="C233">
        <v>2.08</v>
      </c>
      <c r="D233">
        <v>146.02000000000001</v>
      </c>
      <c r="E233">
        <v>20.68</v>
      </c>
      <c r="F233">
        <v>1.9710299</v>
      </c>
      <c r="G233">
        <v>5.71</v>
      </c>
      <c r="H233">
        <v>2.8267899000000001</v>
      </c>
      <c r="K233">
        <v>107.05325943667778</v>
      </c>
      <c r="L233">
        <v>107.2006244303758</v>
      </c>
      <c r="M233">
        <v>108.8884451568405</v>
      </c>
    </row>
    <row r="234" spans="1:13" x14ac:dyDescent="0.45">
      <c r="A234">
        <v>17.3</v>
      </c>
      <c r="B234">
        <v>1.4</v>
      </c>
      <c r="C234">
        <v>1.57</v>
      </c>
      <c r="D234">
        <v>32.21</v>
      </c>
      <c r="E234">
        <v>20.39</v>
      </c>
      <c r="F234">
        <v>2.2907758</v>
      </c>
      <c r="G234">
        <v>3.49</v>
      </c>
      <c r="H234">
        <v>2.5174791999999999</v>
      </c>
      <c r="K234">
        <v>14.29927143627636</v>
      </c>
      <c r="L234">
        <v>14.885699879381409</v>
      </c>
      <c r="M234">
        <v>16.241626046253813</v>
      </c>
    </row>
    <row r="235" spans="1:13" x14ac:dyDescent="0.45">
      <c r="A235">
        <v>14.4</v>
      </c>
      <c r="B235">
        <v>1.5</v>
      </c>
      <c r="C235">
        <v>1.02</v>
      </c>
      <c r="D235">
        <v>18.75</v>
      </c>
      <c r="E235">
        <v>11.23</v>
      </c>
      <c r="F235">
        <v>4.1131105000000003</v>
      </c>
      <c r="G235">
        <v>2.02</v>
      </c>
      <c r="H235">
        <v>3.5549127999999999</v>
      </c>
      <c r="K235">
        <v>9.9138771243943573</v>
      </c>
      <c r="L235">
        <v>14.072990200722272</v>
      </c>
      <c r="M235">
        <v>14.108089019388727</v>
      </c>
    </row>
    <row r="236" spans="1:13" x14ac:dyDescent="0.45">
      <c r="A236">
        <v>34.9</v>
      </c>
      <c r="B236">
        <v>3.7</v>
      </c>
      <c r="C236">
        <v>1.49</v>
      </c>
      <c r="D236">
        <v>19.920000000000002</v>
      </c>
      <c r="E236">
        <v>12.07</v>
      </c>
      <c r="F236">
        <v>2.6270628</v>
      </c>
      <c r="G236">
        <v>0.66</v>
      </c>
      <c r="H236">
        <v>0.89549029999999996</v>
      </c>
      <c r="K236">
        <v>30.708554209582331</v>
      </c>
      <c r="L236">
        <v>31.671931115599275</v>
      </c>
      <c r="M236">
        <v>34.589250826269101</v>
      </c>
    </row>
    <row r="237" spans="1:13" x14ac:dyDescent="0.45">
      <c r="A237">
        <v>37</v>
      </c>
      <c r="B237">
        <v>0</v>
      </c>
      <c r="C237">
        <v>4.0599999999999996</v>
      </c>
      <c r="D237">
        <v>262.37</v>
      </c>
      <c r="E237">
        <v>22.39</v>
      </c>
      <c r="F237">
        <v>0.60400149999999997</v>
      </c>
      <c r="G237">
        <v>3.33</v>
      </c>
      <c r="H237">
        <v>0.92568950000000005</v>
      </c>
      <c r="K237">
        <v>48.189586498710696</v>
      </c>
      <c r="L237">
        <v>46.872355314572076</v>
      </c>
      <c r="M237">
        <v>51.671713457936356</v>
      </c>
    </row>
    <row r="238" spans="1:13" x14ac:dyDescent="0.45">
      <c r="A238">
        <v>16.8</v>
      </c>
      <c r="B238">
        <v>0</v>
      </c>
      <c r="C238">
        <v>1</v>
      </c>
      <c r="D238">
        <v>15.1</v>
      </c>
      <c r="E238">
        <v>15.41</v>
      </c>
      <c r="F238">
        <v>2.8132991999999999</v>
      </c>
      <c r="G238">
        <v>1.72</v>
      </c>
      <c r="H238">
        <v>3.5112101999999998</v>
      </c>
      <c r="K238">
        <v>-2.410730139049122</v>
      </c>
      <c r="L238">
        <v>-0.78993892470526506</v>
      </c>
      <c r="M238">
        <v>-0.63485785156087093</v>
      </c>
    </row>
    <row r="239" spans="1:13" x14ac:dyDescent="0.45">
      <c r="A239">
        <v>10.6</v>
      </c>
      <c r="B239">
        <v>1.1000000000000001</v>
      </c>
      <c r="C239">
        <v>12.15</v>
      </c>
      <c r="D239">
        <v>225.37</v>
      </c>
      <c r="E239">
        <v>18.75</v>
      </c>
      <c r="F239">
        <v>1.2264713</v>
      </c>
      <c r="G239">
        <v>6.04</v>
      </c>
      <c r="H239">
        <v>1.8924941</v>
      </c>
      <c r="K239">
        <v>31.091237237994481</v>
      </c>
      <c r="L239">
        <v>30.44250125765938</v>
      </c>
      <c r="M239">
        <v>32.558877627028274</v>
      </c>
    </row>
    <row r="240" spans="1:13" x14ac:dyDescent="0.45">
      <c r="A240">
        <v>15.4</v>
      </c>
      <c r="B240">
        <v>0.5</v>
      </c>
      <c r="C240">
        <v>2.94</v>
      </c>
      <c r="D240">
        <v>169.28</v>
      </c>
      <c r="E240">
        <v>53.57</v>
      </c>
      <c r="F240">
        <v>0</v>
      </c>
      <c r="G240">
        <v>196.21</v>
      </c>
      <c r="H240">
        <v>7.97525</v>
      </c>
      <c r="K240">
        <v>49.099128621478954</v>
      </c>
      <c r="L240">
        <v>44.826424551188218</v>
      </c>
      <c r="M240">
        <v>41.431827419184529</v>
      </c>
    </row>
    <row r="241" spans="1:13" x14ac:dyDescent="0.45">
      <c r="A241">
        <v>18</v>
      </c>
      <c r="B241">
        <v>1</v>
      </c>
      <c r="C241">
        <v>1</v>
      </c>
      <c r="D241">
        <v>43.73</v>
      </c>
      <c r="E241">
        <v>26.19</v>
      </c>
      <c r="F241">
        <v>0</v>
      </c>
      <c r="G241">
        <v>2.2400000000000002</v>
      </c>
      <c r="H241">
        <v>5.0603999999999996</v>
      </c>
      <c r="K241">
        <v>22.547572143646036</v>
      </c>
      <c r="L241">
        <v>18.613393765518424</v>
      </c>
      <c r="M241">
        <v>17.369352329860646</v>
      </c>
    </row>
    <row r="242" spans="1:13" x14ac:dyDescent="0.45">
      <c r="A242">
        <v>56</v>
      </c>
      <c r="B242">
        <v>3.9</v>
      </c>
      <c r="C242">
        <v>4.8600000000000003</v>
      </c>
      <c r="D242">
        <v>156.15</v>
      </c>
      <c r="E242">
        <v>23.62</v>
      </c>
      <c r="F242">
        <v>1.9089574</v>
      </c>
      <c r="G242">
        <v>10.99</v>
      </c>
      <c r="H242">
        <v>3.9286148999999999</v>
      </c>
      <c r="K242">
        <v>61.554641613750135</v>
      </c>
      <c r="L242">
        <v>61.87255735801542</v>
      </c>
      <c r="M242">
        <v>62.163336393600865</v>
      </c>
    </row>
    <row r="243" spans="1:13" x14ac:dyDescent="0.45">
      <c r="A243">
        <v>32.299999999999997</v>
      </c>
      <c r="B243">
        <v>1.2</v>
      </c>
      <c r="C243">
        <v>4.92</v>
      </c>
      <c r="D243">
        <v>209.54</v>
      </c>
      <c r="E243">
        <v>52.25</v>
      </c>
      <c r="F243">
        <v>0</v>
      </c>
      <c r="G243">
        <v>10.89</v>
      </c>
      <c r="H243">
        <v>11.713953</v>
      </c>
      <c r="K243">
        <v>62.992504361477963</v>
      </c>
      <c r="L243">
        <v>60.23838451031132</v>
      </c>
      <c r="M243">
        <v>52.637243343772447</v>
      </c>
    </row>
    <row r="244" spans="1:13" x14ac:dyDescent="0.45">
      <c r="A244">
        <v>18.2</v>
      </c>
      <c r="B244">
        <v>-0.1</v>
      </c>
      <c r="C244">
        <v>0.54</v>
      </c>
      <c r="D244">
        <v>83.92</v>
      </c>
      <c r="E244">
        <v>-119.89</v>
      </c>
      <c r="F244">
        <v>0</v>
      </c>
      <c r="G244">
        <v>10.25</v>
      </c>
      <c r="H244">
        <v>17.026990000000001</v>
      </c>
      <c r="K244">
        <v>18.65006744116792</v>
      </c>
      <c r="L244">
        <v>13.327985276950679</v>
      </c>
      <c r="M244">
        <v>-2.8090852333384309</v>
      </c>
    </row>
    <row r="245" spans="1:13" x14ac:dyDescent="0.45">
      <c r="A245">
        <v>22.8</v>
      </c>
      <c r="B245">
        <v>2</v>
      </c>
      <c r="C245">
        <v>5.07</v>
      </c>
      <c r="D245">
        <v>87.6</v>
      </c>
      <c r="E245">
        <v>19.38</v>
      </c>
      <c r="F245">
        <v>1.9739007</v>
      </c>
      <c r="G245">
        <v>3.34</v>
      </c>
      <c r="H245">
        <v>1.6147361</v>
      </c>
      <c r="K245">
        <v>23.862441720288238</v>
      </c>
      <c r="L245">
        <v>24.009905862317407</v>
      </c>
      <c r="M245">
        <v>26.302810823038243</v>
      </c>
    </row>
    <row r="246" spans="1:13" x14ac:dyDescent="0.45">
      <c r="A246">
        <v>211.5</v>
      </c>
      <c r="B246">
        <v>26.2</v>
      </c>
      <c r="C246">
        <v>1.98</v>
      </c>
      <c r="D246">
        <v>42.75</v>
      </c>
      <c r="E246">
        <v>12.32</v>
      </c>
      <c r="F246">
        <v>2.6548672</v>
      </c>
      <c r="G246">
        <v>3.34</v>
      </c>
      <c r="H246">
        <v>3.3488760000000002</v>
      </c>
      <c r="K246">
        <v>257.28522893480789</v>
      </c>
      <c r="L246">
        <v>256.79421274435572</v>
      </c>
      <c r="M246">
        <v>256.37952282936806</v>
      </c>
    </row>
    <row r="247" spans="1:13" x14ac:dyDescent="0.45">
      <c r="A247">
        <v>41.4</v>
      </c>
      <c r="B247">
        <v>3.1</v>
      </c>
      <c r="C247">
        <v>2.37</v>
      </c>
      <c r="D247">
        <v>67</v>
      </c>
      <c r="E247">
        <v>22.95</v>
      </c>
      <c r="F247">
        <v>5.4298643999999996</v>
      </c>
      <c r="G247">
        <v>2.62</v>
      </c>
      <c r="H247">
        <v>9.6199870000000001</v>
      </c>
      <c r="K247">
        <v>38.674850362851913</v>
      </c>
      <c r="L247">
        <v>45.821423942333659</v>
      </c>
      <c r="M247">
        <v>39.324634659783968</v>
      </c>
    </row>
    <row r="248" spans="1:13" x14ac:dyDescent="0.45">
      <c r="A248">
        <v>142.4</v>
      </c>
      <c r="B248">
        <v>16.600000000000001</v>
      </c>
      <c r="C248">
        <v>6.11</v>
      </c>
      <c r="D248">
        <v>147.59</v>
      </c>
      <c r="E248">
        <v>10.67</v>
      </c>
      <c r="F248">
        <v>3.8999025999999999</v>
      </c>
      <c r="G248">
        <v>7.7</v>
      </c>
      <c r="H248">
        <v>1.817167</v>
      </c>
      <c r="K248">
        <v>172.80809904355499</v>
      </c>
      <c r="L248">
        <v>176.09357397147332</v>
      </c>
      <c r="M248">
        <v>177.95500720368398</v>
      </c>
    </row>
    <row r="249" spans="1:13" x14ac:dyDescent="0.45">
      <c r="A249">
        <v>24.5</v>
      </c>
      <c r="B249">
        <v>3</v>
      </c>
      <c r="C249">
        <v>5.14</v>
      </c>
      <c r="D249">
        <v>56.05</v>
      </c>
      <c r="E249">
        <v>15.57</v>
      </c>
      <c r="F249">
        <v>3.2067510000000001</v>
      </c>
      <c r="G249">
        <v>4.99</v>
      </c>
      <c r="H249">
        <v>1.0738261</v>
      </c>
      <c r="K249">
        <v>22.836001399838644</v>
      </c>
      <c r="L249">
        <v>25.183603898291686</v>
      </c>
      <c r="M249">
        <v>27.730143885688808</v>
      </c>
    </row>
    <row r="250" spans="1:13" x14ac:dyDescent="0.45">
      <c r="A250">
        <v>8.3000000000000007</v>
      </c>
      <c r="B250">
        <v>1.1000000000000001</v>
      </c>
      <c r="C250">
        <v>1.49</v>
      </c>
      <c r="D250">
        <v>21.34</v>
      </c>
      <c r="E250">
        <v>15.46</v>
      </c>
      <c r="F250">
        <v>3.3802816999999998</v>
      </c>
      <c r="G250">
        <v>4.01</v>
      </c>
      <c r="H250">
        <v>1.4712902999999999</v>
      </c>
      <c r="K250">
        <v>5.137255130771063</v>
      </c>
      <c r="L250">
        <v>7.8592158111899515</v>
      </c>
      <c r="M250">
        <v>10.261676899245415</v>
      </c>
    </row>
    <row r="251" spans="1:13" x14ac:dyDescent="0.45">
      <c r="A251">
        <v>11.3</v>
      </c>
      <c r="B251">
        <v>0.7</v>
      </c>
      <c r="C251">
        <v>5.05</v>
      </c>
      <c r="D251">
        <v>138</v>
      </c>
      <c r="E251">
        <v>24.17</v>
      </c>
      <c r="F251">
        <v>1.9341276000000001</v>
      </c>
      <c r="G251">
        <v>6.34</v>
      </c>
      <c r="H251">
        <v>4.4208812999999996</v>
      </c>
      <c r="K251">
        <v>26.311491442505851</v>
      </c>
      <c r="L251">
        <v>26.828190277721173</v>
      </c>
      <c r="M251">
        <v>26.486933111912826</v>
      </c>
    </row>
    <row r="252" spans="1:13" x14ac:dyDescent="0.45">
      <c r="A252">
        <v>41.2</v>
      </c>
      <c r="B252">
        <v>1.7</v>
      </c>
      <c r="C252">
        <v>3.72</v>
      </c>
      <c r="D252">
        <v>152.75</v>
      </c>
      <c r="E252">
        <v>40.520000000000003</v>
      </c>
      <c r="F252">
        <v>0.96720194999999998</v>
      </c>
      <c r="G252">
        <v>33.5</v>
      </c>
      <c r="H252">
        <v>9.6337309999999992</v>
      </c>
      <c r="K252">
        <v>52.464099883645844</v>
      </c>
      <c r="L252">
        <v>51.026743676909057</v>
      </c>
      <c r="M252">
        <v>45.30501864561829</v>
      </c>
    </row>
    <row r="253" spans="1:13" x14ac:dyDescent="0.45">
      <c r="A253">
        <v>44.9</v>
      </c>
      <c r="B253">
        <v>1.2</v>
      </c>
      <c r="C253">
        <v>5.67</v>
      </c>
      <c r="D253">
        <v>381.87</v>
      </c>
      <c r="E253">
        <v>48.58</v>
      </c>
      <c r="F253">
        <v>0</v>
      </c>
      <c r="G253">
        <v>9.48</v>
      </c>
      <c r="H253">
        <v>14.655260999999999</v>
      </c>
      <c r="K253">
        <v>102.69185025737639</v>
      </c>
      <c r="L253">
        <v>101.00808761730114</v>
      </c>
      <c r="M253">
        <v>91.392549193233606</v>
      </c>
    </row>
    <row r="254" spans="1:13" x14ac:dyDescent="0.45">
      <c r="A254">
        <v>13.6</v>
      </c>
      <c r="B254">
        <v>1.6</v>
      </c>
      <c r="C254">
        <v>2.74</v>
      </c>
      <c r="D254">
        <v>31.92</v>
      </c>
      <c r="E254">
        <v>11.87</v>
      </c>
      <c r="F254">
        <v>3.4668260000000002</v>
      </c>
      <c r="G254">
        <v>1.62</v>
      </c>
      <c r="H254">
        <v>2.6513786000000001</v>
      </c>
      <c r="K254">
        <v>10.182564125097869</v>
      </c>
      <c r="L254">
        <v>13.055405287529267</v>
      </c>
      <c r="M254">
        <v>13.97083512466364</v>
      </c>
    </row>
    <row r="255" spans="1:13" x14ac:dyDescent="0.45">
      <c r="A255">
        <v>20.399999999999999</v>
      </c>
      <c r="B255">
        <v>1.5</v>
      </c>
      <c r="C255">
        <v>0.76</v>
      </c>
      <c r="D255">
        <v>95.23</v>
      </c>
      <c r="E255">
        <v>21.74</v>
      </c>
      <c r="F255">
        <v>0</v>
      </c>
      <c r="G255">
        <v>2.77</v>
      </c>
      <c r="H255">
        <v>2.8477087000000001</v>
      </c>
      <c r="K255">
        <v>36.515219971085848</v>
      </c>
      <c r="L255">
        <v>32.838593206434361</v>
      </c>
      <c r="M255">
        <v>34.49006045574243</v>
      </c>
    </row>
    <row r="256" spans="1:13" x14ac:dyDescent="0.45">
      <c r="A256">
        <v>9.4</v>
      </c>
      <c r="B256">
        <v>1.1000000000000001</v>
      </c>
      <c r="C256">
        <v>0.46</v>
      </c>
      <c r="D256">
        <v>32.07</v>
      </c>
      <c r="E256">
        <v>15.42</v>
      </c>
      <c r="F256">
        <v>7.0825800000000001</v>
      </c>
      <c r="G256">
        <v>4.97</v>
      </c>
      <c r="H256">
        <v>3.2898626000000002</v>
      </c>
      <c r="K256">
        <v>4.3978025092091446</v>
      </c>
      <c r="L256">
        <v>14.821790684313124</v>
      </c>
      <c r="M256">
        <v>15.416726254060563</v>
      </c>
    </row>
    <row r="257" spans="1:13" x14ac:dyDescent="0.45">
      <c r="A257">
        <v>12.9</v>
      </c>
      <c r="B257">
        <v>1</v>
      </c>
      <c r="C257">
        <v>6.19</v>
      </c>
      <c r="D257">
        <v>114.81</v>
      </c>
      <c r="E257">
        <v>30.62</v>
      </c>
      <c r="F257">
        <v>0.81390419999999997</v>
      </c>
      <c r="G257">
        <v>8.5500000000000007</v>
      </c>
      <c r="H257">
        <v>1.7697402</v>
      </c>
      <c r="K257">
        <v>21.445741801820478</v>
      </c>
      <c r="L257">
        <v>19.515162090428248</v>
      </c>
      <c r="M257">
        <v>21.870011490257962</v>
      </c>
    </row>
    <row r="258" spans="1:13" x14ac:dyDescent="0.45">
      <c r="A258">
        <v>9.3000000000000007</v>
      </c>
      <c r="B258">
        <v>0.4</v>
      </c>
      <c r="C258">
        <v>2.4300000000000002</v>
      </c>
      <c r="D258">
        <v>62.82</v>
      </c>
      <c r="E258">
        <v>19.45</v>
      </c>
      <c r="F258">
        <v>0.90895320000000002</v>
      </c>
      <c r="G258">
        <v>2.0099999999999998</v>
      </c>
      <c r="H258">
        <v>1.2129635999999999</v>
      </c>
      <c r="K258">
        <v>10.610354268505674</v>
      </c>
      <c r="L258">
        <v>8.6064175406347054</v>
      </c>
      <c r="M258">
        <v>11.583889108884877</v>
      </c>
    </row>
    <row r="259" spans="1:13" x14ac:dyDescent="0.45">
      <c r="A259">
        <v>13.6</v>
      </c>
      <c r="B259">
        <v>1.4</v>
      </c>
      <c r="C259">
        <v>5.0999999999999996</v>
      </c>
      <c r="D259">
        <v>118.37</v>
      </c>
      <c r="E259">
        <v>15.35</v>
      </c>
      <c r="F259">
        <v>2.6036885000000001</v>
      </c>
      <c r="G259">
        <v>1.88</v>
      </c>
      <c r="H259">
        <v>2.496677</v>
      </c>
      <c r="K259">
        <v>24.042531670393686</v>
      </c>
      <c r="L259">
        <v>25.692546410513224</v>
      </c>
      <c r="M259">
        <v>27.214732137222736</v>
      </c>
    </row>
    <row r="260" spans="1:13" x14ac:dyDescent="0.45">
      <c r="A260">
        <v>353.1</v>
      </c>
      <c r="B260">
        <v>22.4</v>
      </c>
      <c r="C260">
        <v>0.39</v>
      </c>
      <c r="D260">
        <v>126.36</v>
      </c>
      <c r="E260">
        <v>17.309999999999999</v>
      </c>
      <c r="F260">
        <v>2.5566884999999999</v>
      </c>
      <c r="G260">
        <v>4.74</v>
      </c>
      <c r="H260">
        <v>4.6326222000000001</v>
      </c>
      <c r="K260">
        <v>244.83355525402868</v>
      </c>
      <c r="L260">
        <v>245.05081891758039</v>
      </c>
      <c r="M260">
        <v>244.31193527594061</v>
      </c>
    </row>
    <row r="261" spans="1:13" x14ac:dyDescent="0.45">
      <c r="A261">
        <v>34.799999999999997</v>
      </c>
      <c r="B261">
        <v>4.3</v>
      </c>
      <c r="C261">
        <v>1.71</v>
      </c>
      <c r="D261">
        <v>36.549999999999997</v>
      </c>
      <c r="E261">
        <v>14</v>
      </c>
      <c r="F261">
        <v>2.7659574</v>
      </c>
      <c r="G261">
        <v>1.69</v>
      </c>
      <c r="H261">
        <v>1.1415336</v>
      </c>
      <c r="K261">
        <v>39.999068744603264</v>
      </c>
      <c r="L261">
        <v>41.321239203120093</v>
      </c>
      <c r="M261">
        <v>44.075305725082188</v>
      </c>
    </row>
    <row r="262" spans="1:13" x14ac:dyDescent="0.45">
      <c r="A262">
        <v>386.6</v>
      </c>
      <c r="B262">
        <v>0</v>
      </c>
      <c r="C262">
        <v>6.3</v>
      </c>
      <c r="D262">
        <v>107.88</v>
      </c>
      <c r="E262">
        <v>15.43</v>
      </c>
      <c r="F262">
        <v>1.9845841</v>
      </c>
      <c r="G262">
        <v>1.6</v>
      </c>
      <c r="H262">
        <v>3.3714993</v>
      </c>
      <c r="K262">
        <v>7.4682787787418343</v>
      </c>
      <c r="L262">
        <v>7.8452084756525551</v>
      </c>
      <c r="M262">
        <v>8.1580031400538449</v>
      </c>
    </row>
    <row r="263" spans="1:13" x14ac:dyDescent="0.45">
      <c r="A263">
        <v>9.3000000000000007</v>
      </c>
      <c r="B263">
        <v>1.1000000000000001</v>
      </c>
      <c r="C263">
        <v>0.78</v>
      </c>
      <c r="D263">
        <v>24.66</v>
      </c>
      <c r="E263">
        <v>14.09</v>
      </c>
      <c r="F263">
        <v>1.5754234</v>
      </c>
      <c r="G263">
        <v>1.78</v>
      </c>
      <c r="H263">
        <v>1.8543326</v>
      </c>
      <c r="K263">
        <v>11.516299240230673</v>
      </c>
      <c r="L263">
        <v>10.568351283480371</v>
      </c>
      <c r="M263">
        <v>12.655032251858959</v>
      </c>
    </row>
    <row r="264" spans="1:13" x14ac:dyDescent="0.45">
      <c r="A264">
        <v>11</v>
      </c>
      <c r="B264">
        <v>1.3</v>
      </c>
      <c r="C264">
        <v>9.16</v>
      </c>
      <c r="D264">
        <v>103.53</v>
      </c>
      <c r="E264">
        <v>19.8</v>
      </c>
      <c r="F264">
        <v>1.3445379</v>
      </c>
      <c r="G264">
        <v>2.39</v>
      </c>
      <c r="H264">
        <v>4.2818969999999998</v>
      </c>
      <c r="K264">
        <v>15.340888167561753</v>
      </c>
      <c r="L264">
        <v>14.241047427526293</v>
      </c>
      <c r="M264">
        <v>13.081519028071233</v>
      </c>
    </row>
    <row r="265" spans="1:13" x14ac:dyDescent="0.45">
      <c r="A265">
        <v>22.2</v>
      </c>
      <c r="B265">
        <v>1.8</v>
      </c>
      <c r="C265">
        <v>1.95</v>
      </c>
      <c r="D265">
        <v>65.98</v>
      </c>
      <c r="E265">
        <v>16.5</v>
      </c>
      <c r="F265">
        <v>3.3639619999999999</v>
      </c>
      <c r="G265">
        <v>11.5</v>
      </c>
      <c r="H265">
        <v>2.3173764000000001</v>
      </c>
      <c r="K265">
        <v>22.053615134382799</v>
      </c>
      <c r="L265">
        <v>24.925097108789949</v>
      </c>
      <c r="M265">
        <v>26.675074882202811</v>
      </c>
    </row>
    <row r="266" spans="1:13" x14ac:dyDescent="0.45">
      <c r="A266">
        <v>22.6</v>
      </c>
      <c r="B266">
        <v>0</v>
      </c>
      <c r="C266">
        <v>1.1200000000000001</v>
      </c>
      <c r="D266">
        <v>20.079999999999998</v>
      </c>
      <c r="E266">
        <v>14.66</v>
      </c>
      <c r="F266">
        <v>1.9876952000000001</v>
      </c>
      <c r="G266">
        <v>1.55</v>
      </c>
      <c r="H266">
        <v>3.270451</v>
      </c>
      <c r="K266">
        <v>-0.23923374067112979</v>
      </c>
      <c r="L266">
        <v>-0.29391115501744047</v>
      </c>
      <c r="M266">
        <v>0.1475894532408013</v>
      </c>
    </row>
    <row r="267" spans="1:13" x14ac:dyDescent="0.45">
      <c r="A267">
        <v>39.4</v>
      </c>
      <c r="B267">
        <v>4</v>
      </c>
      <c r="C267">
        <v>6.41</v>
      </c>
      <c r="D267">
        <v>111.69</v>
      </c>
      <c r="E267">
        <v>17.93</v>
      </c>
      <c r="F267">
        <v>3.5599859</v>
      </c>
      <c r="G267">
        <v>151.66</v>
      </c>
      <c r="H267">
        <v>2.1947836999999999</v>
      </c>
      <c r="K267">
        <v>43.986516323069488</v>
      </c>
      <c r="L267">
        <v>46.246924179436917</v>
      </c>
      <c r="M267">
        <v>47.811531905886795</v>
      </c>
    </row>
    <row r="268" spans="1:13" x14ac:dyDescent="0.45">
      <c r="A268">
        <v>6.2</v>
      </c>
      <c r="B268">
        <v>0.7</v>
      </c>
      <c r="C268">
        <v>0.8</v>
      </c>
      <c r="D268">
        <v>14.01</v>
      </c>
      <c r="E268">
        <v>9.2799999999999994</v>
      </c>
      <c r="F268">
        <v>7.7134986000000003</v>
      </c>
      <c r="G268">
        <v>1.2</v>
      </c>
      <c r="H268">
        <v>7.0508943000000004</v>
      </c>
      <c r="K268">
        <v>-2.1338150405984715</v>
      </c>
      <c r="L268">
        <v>9.4398818102005322</v>
      </c>
      <c r="M268">
        <v>5.5252300445338847</v>
      </c>
    </row>
    <row r="269" spans="1:13" x14ac:dyDescent="0.45">
      <c r="A269">
        <v>38.6</v>
      </c>
      <c r="B269">
        <v>6</v>
      </c>
      <c r="C269">
        <v>0.01</v>
      </c>
      <c r="D269">
        <v>16.8</v>
      </c>
      <c r="E269">
        <v>25.07</v>
      </c>
      <c r="F269">
        <v>2.891845</v>
      </c>
      <c r="G269">
        <v>1.07</v>
      </c>
      <c r="H269">
        <v>2.8239359999999998</v>
      </c>
      <c r="K269">
        <v>59.088236946261475</v>
      </c>
      <c r="L269">
        <v>60.591954236076219</v>
      </c>
      <c r="M269">
        <v>61.621187465120528</v>
      </c>
    </row>
    <row r="270" spans="1:13" x14ac:dyDescent="0.45">
      <c r="A270">
        <v>16.100000000000001</v>
      </c>
      <c r="B270">
        <v>1.5</v>
      </c>
      <c r="C270">
        <v>5.88</v>
      </c>
      <c r="D270">
        <v>98.54</v>
      </c>
      <c r="E270">
        <v>16.59</v>
      </c>
      <c r="F270">
        <v>2.2988504999999999</v>
      </c>
      <c r="G270">
        <v>12.93</v>
      </c>
      <c r="H270">
        <v>4.3395862999999997</v>
      </c>
      <c r="K270">
        <v>21.685335423339126</v>
      </c>
      <c r="L270">
        <v>22.47755926624081</v>
      </c>
      <c r="M270">
        <v>21.650549548056443</v>
      </c>
    </row>
    <row r="271" spans="1:13" x14ac:dyDescent="0.45">
      <c r="A271">
        <v>10.6</v>
      </c>
      <c r="B271">
        <v>2.2999999999999998</v>
      </c>
      <c r="C271">
        <v>3.12</v>
      </c>
      <c r="D271">
        <v>60.34</v>
      </c>
      <c r="E271">
        <v>16.010000000000002</v>
      </c>
      <c r="F271">
        <v>3.4965036</v>
      </c>
      <c r="G271">
        <v>2.04</v>
      </c>
      <c r="H271">
        <v>0.85577570000000003</v>
      </c>
      <c r="K271">
        <v>20.881592766513798</v>
      </c>
      <c r="L271">
        <v>23.9877469244494</v>
      </c>
      <c r="M271">
        <v>27.143073456168931</v>
      </c>
    </row>
    <row r="272" spans="1:13" x14ac:dyDescent="0.45">
      <c r="A272">
        <v>89.6</v>
      </c>
      <c r="B272">
        <v>7.8</v>
      </c>
      <c r="C272">
        <v>2.81</v>
      </c>
      <c r="D272">
        <v>71.58</v>
      </c>
      <c r="E272">
        <v>20.11</v>
      </c>
      <c r="F272">
        <v>3.3990483</v>
      </c>
      <c r="G272">
        <v>1.54</v>
      </c>
      <c r="H272">
        <v>4.6780853000000002</v>
      </c>
      <c r="K272">
        <v>82.852308441882116</v>
      </c>
      <c r="L272">
        <v>85.485877030716665</v>
      </c>
      <c r="M272">
        <v>84.355431777144091</v>
      </c>
    </row>
    <row r="273" spans="1:13" x14ac:dyDescent="0.45">
      <c r="A273">
        <v>25.5</v>
      </c>
      <c r="B273">
        <v>5.3</v>
      </c>
      <c r="C273">
        <v>2.0499999999999998</v>
      </c>
      <c r="D273">
        <v>27.57</v>
      </c>
      <c r="E273">
        <v>13.07</v>
      </c>
      <c r="F273">
        <v>1.7301039</v>
      </c>
      <c r="G273">
        <v>4.0199999999999996</v>
      </c>
      <c r="H273">
        <v>0.27961262999999997</v>
      </c>
      <c r="K273">
        <v>48.030053441789768</v>
      </c>
      <c r="L273">
        <v>47.055065184010644</v>
      </c>
      <c r="M273">
        <v>50.612199542258232</v>
      </c>
    </row>
    <row r="274" spans="1:13" x14ac:dyDescent="0.45">
      <c r="A274">
        <v>13.9</v>
      </c>
      <c r="B274">
        <v>2.2999999999999998</v>
      </c>
      <c r="C274">
        <v>3.98</v>
      </c>
      <c r="D274">
        <v>47.77</v>
      </c>
      <c r="E274">
        <v>12.77</v>
      </c>
      <c r="F274">
        <v>4.8869879999999997</v>
      </c>
      <c r="G274">
        <v>1403.38</v>
      </c>
      <c r="H274">
        <v>1.7060976999999999</v>
      </c>
      <c r="K274">
        <v>24.238921328192355</v>
      </c>
      <c r="L274">
        <v>19.599911224050288</v>
      </c>
      <c r="M274">
        <v>21.521528433834327</v>
      </c>
    </row>
    <row r="275" spans="1:13" x14ac:dyDescent="0.45">
      <c r="A275">
        <v>16.2</v>
      </c>
      <c r="B275">
        <v>1.1000000000000001</v>
      </c>
      <c r="C275">
        <v>8.51</v>
      </c>
      <c r="D275">
        <v>198.79</v>
      </c>
      <c r="E275">
        <v>23.14</v>
      </c>
      <c r="F275">
        <v>1.4444604999999999</v>
      </c>
      <c r="G275">
        <v>3.12</v>
      </c>
      <c r="H275">
        <v>1.4884603999999999</v>
      </c>
      <c r="K275">
        <v>33.26029698623767</v>
      </c>
      <c r="L275">
        <v>33.060231553156889</v>
      </c>
      <c r="M275">
        <v>36.002217951053822</v>
      </c>
    </row>
    <row r="276" spans="1:13" x14ac:dyDescent="0.45">
      <c r="A276">
        <v>17.3</v>
      </c>
      <c r="B276">
        <v>1.9</v>
      </c>
      <c r="C276">
        <v>7.02</v>
      </c>
      <c r="D276">
        <v>165.46</v>
      </c>
      <c r="E276">
        <v>17.79</v>
      </c>
      <c r="F276">
        <v>0</v>
      </c>
      <c r="G276">
        <v>2.71</v>
      </c>
      <c r="H276">
        <v>2.2459623999999998</v>
      </c>
      <c r="K276">
        <v>40.321306861511104</v>
      </c>
      <c r="L276">
        <v>36.857065657217575</v>
      </c>
      <c r="M276">
        <v>38.791554994397089</v>
      </c>
    </row>
    <row r="277" spans="1:13" x14ac:dyDescent="0.45">
      <c r="A277">
        <v>28</v>
      </c>
      <c r="B277">
        <v>3</v>
      </c>
      <c r="C277">
        <v>9.2200000000000006</v>
      </c>
      <c r="D277">
        <v>162.22999999999999</v>
      </c>
      <c r="E277">
        <v>16.29</v>
      </c>
      <c r="F277">
        <v>1.1652974</v>
      </c>
      <c r="G277">
        <v>4.5199999999999996</v>
      </c>
      <c r="H277">
        <v>3.0405293000000002</v>
      </c>
      <c r="K277">
        <v>43.527543560634356</v>
      </c>
      <c r="L277">
        <v>42.265533610897258</v>
      </c>
      <c r="M277">
        <v>42.897808082871904</v>
      </c>
    </row>
    <row r="278" spans="1:13" x14ac:dyDescent="0.45">
      <c r="A278">
        <v>6</v>
      </c>
      <c r="B278">
        <v>0.4</v>
      </c>
      <c r="C278">
        <v>2.76</v>
      </c>
      <c r="D278">
        <v>43.99</v>
      </c>
      <c r="E278">
        <v>17.88</v>
      </c>
      <c r="F278">
        <v>3.1454784999999998</v>
      </c>
      <c r="G278">
        <v>4.8899999999999997</v>
      </c>
      <c r="H278">
        <v>2.0302901000000002</v>
      </c>
      <c r="K278">
        <v>1.7863936043082944</v>
      </c>
      <c r="L278">
        <v>4.2086150917058402</v>
      </c>
      <c r="M278">
        <v>6.0362100818491129</v>
      </c>
    </row>
    <row r="279" spans="1:13" x14ac:dyDescent="0.45">
      <c r="A279">
        <v>14.6</v>
      </c>
      <c r="B279">
        <v>1.4</v>
      </c>
      <c r="C279">
        <v>3.38</v>
      </c>
      <c r="D279">
        <v>59.11</v>
      </c>
      <c r="E279">
        <v>15.35</v>
      </c>
      <c r="F279">
        <v>0.26268265000000002</v>
      </c>
      <c r="G279">
        <v>1.76</v>
      </c>
      <c r="H279">
        <v>1.1468263999999999</v>
      </c>
      <c r="K279">
        <v>18.103595217636045</v>
      </c>
      <c r="L279">
        <v>14.602817301306661</v>
      </c>
      <c r="M279">
        <v>17.400224911654892</v>
      </c>
    </row>
    <row r="280" spans="1:13" x14ac:dyDescent="0.45">
      <c r="A280">
        <v>8.9</v>
      </c>
      <c r="B280">
        <v>2.2000000000000002</v>
      </c>
      <c r="C280">
        <v>0.33</v>
      </c>
      <c r="D280">
        <v>23.86</v>
      </c>
      <c r="E280">
        <v>15.39</v>
      </c>
      <c r="F280">
        <v>1.5993602</v>
      </c>
      <c r="G280">
        <v>0.84</v>
      </c>
      <c r="H280">
        <v>1.0410155999999999</v>
      </c>
      <c r="K280">
        <v>22.315934913990461</v>
      </c>
      <c r="L280">
        <v>21.368486930262755</v>
      </c>
      <c r="M280">
        <v>24.414929172530169</v>
      </c>
    </row>
    <row r="281" spans="1:13" x14ac:dyDescent="0.45">
      <c r="A281">
        <v>84.5</v>
      </c>
      <c r="B281">
        <v>3.5</v>
      </c>
      <c r="C281">
        <v>-0.2</v>
      </c>
      <c r="D281">
        <v>74.209999999999994</v>
      </c>
      <c r="E281">
        <v>17.34</v>
      </c>
      <c r="F281">
        <v>2.9327424</v>
      </c>
      <c r="G281">
        <v>5.73</v>
      </c>
      <c r="H281">
        <v>3.7546780000000002</v>
      </c>
      <c r="K281">
        <v>48.114605779600581</v>
      </c>
      <c r="L281">
        <v>50.140329165194338</v>
      </c>
      <c r="M281">
        <v>50.616641198963698</v>
      </c>
    </row>
    <row r="282" spans="1:13" x14ac:dyDescent="0.45">
      <c r="A282">
        <v>17.100000000000001</v>
      </c>
      <c r="B282">
        <v>0</v>
      </c>
      <c r="C282">
        <v>9.24</v>
      </c>
      <c r="D282">
        <v>73.86</v>
      </c>
      <c r="E282">
        <v>9.49</v>
      </c>
      <c r="F282">
        <v>1.6813145</v>
      </c>
      <c r="G282">
        <v>1.04</v>
      </c>
      <c r="H282">
        <v>1.2019439999999999</v>
      </c>
      <c r="K282">
        <v>-9.5573035406219695</v>
      </c>
      <c r="L282">
        <v>-10.168220983262477</v>
      </c>
      <c r="M282">
        <v>-8.2080580748395988</v>
      </c>
    </row>
    <row r="283" spans="1:13" x14ac:dyDescent="0.45">
      <c r="A283">
        <v>12.5</v>
      </c>
      <c r="B283">
        <v>1.1000000000000001</v>
      </c>
      <c r="C283">
        <v>1.5</v>
      </c>
      <c r="D283">
        <v>38.86</v>
      </c>
      <c r="E283">
        <v>21.35</v>
      </c>
      <c r="F283">
        <v>0</v>
      </c>
      <c r="G283">
        <v>3.02</v>
      </c>
      <c r="H283">
        <v>1.7236089999999999</v>
      </c>
      <c r="K283">
        <v>16.941787120426</v>
      </c>
      <c r="L283">
        <v>12.90016791833281</v>
      </c>
      <c r="M283">
        <v>15.239288257939474</v>
      </c>
    </row>
    <row r="284" spans="1:13" x14ac:dyDescent="0.45">
      <c r="A284">
        <v>98.1</v>
      </c>
      <c r="B284">
        <v>7.1</v>
      </c>
      <c r="C284">
        <v>6.83</v>
      </c>
      <c r="D284">
        <v>334.3</v>
      </c>
      <c r="E284">
        <v>24.28</v>
      </c>
      <c r="F284">
        <v>2.3159540000000001</v>
      </c>
      <c r="G284">
        <v>45.55</v>
      </c>
      <c r="H284">
        <v>1.8781451</v>
      </c>
      <c r="K284">
        <v>125.25337723674758</v>
      </c>
      <c r="L284">
        <v>127.04190120702492</v>
      </c>
      <c r="M284">
        <v>130.77204434751823</v>
      </c>
    </row>
    <row r="285" spans="1:13" x14ac:dyDescent="0.45">
      <c r="A285">
        <v>16.100000000000001</v>
      </c>
      <c r="B285">
        <v>0</v>
      </c>
      <c r="C285">
        <v>1.93</v>
      </c>
      <c r="D285">
        <v>46.05</v>
      </c>
      <c r="E285">
        <v>15.99</v>
      </c>
      <c r="F285">
        <v>4.5131636000000004</v>
      </c>
      <c r="G285">
        <v>0.85</v>
      </c>
      <c r="H285">
        <v>1.5809761</v>
      </c>
      <c r="K285">
        <v>-3.2816858013937029</v>
      </c>
      <c r="L285">
        <v>2.0284689712751574</v>
      </c>
      <c r="M285">
        <v>4.4916924709382178</v>
      </c>
    </row>
    <row r="286" spans="1:13" x14ac:dyDescent="0.45">
      <c r="A286">
        <v>82.9</v>
      </c>
      <c r="B286">
        <v>7.9</v>
      </c>
      <c r="C286">
        <v>3.46</v>
      </c>
      <c r="D286">
        <v>95.01</v>
      </c>
      <c r="E286">
        <v>23.87</v>
      </c>
      <c r="F286">
        <v>1.6413131000000001</v>
      </c>
      <c r="G286">
        <v>14.1</v>
      </c>
      <c r="H286">
        <v>1.5653383999999999</v>
      </c>
      <c r="K286">
        <v>88.17341195015689</v>
      </c>
      <c r="L286">
        <v>87.275065811601905</v>
      </c>
      <c r="M286">
        <v>89.801042346052725</v>
      </c>
    </row>
    <row r="287" spans="1:13" x14ac:dyDescent="0.45">
      <c r="A287">
        <v>43.6</v>
      </c>
      <c r="B287">
        <v>6.9</v>
      </c>
      <c r="C287">
        <v>12.25</v>
      </c>
      <c r="D287">
        <v>105.79</v>
      </c>
      <c r="E287">
        <v>10.35</v>
      </c>
      <c r="F287">
        <v>3.2647140000000001</v>
      </c>
      <c r="G287">
        <v>5.86</v>
      </c>
      <c r="H287">
        <v>1.3037612000000001</v>
      </c>
      <c r="K287">
        <v>54.942720901233251</v>
      </c>
      <c r="L287">
        <v>57.18813472957094</v>
      </c>
      <c r="M287">
        <v>58.656998081520832</v>
      </c>
    </row>
    <row r="288" spans="1:13" x14ac:dyDescent="0.45">
      <c r="A288">
        <v>27.8</v>
      </c>
      <c r="B288">
        <v>0</v>
      </c>
      <c r="C288">
        <v>8.69</v>
      </c>
      <c r="D288">
        <v>178.35</v>
      </c>
      <c r="E288">
        <v>18.91</v>
      </c>
      <c r="F288">
        <v>1.6218846</v>
      </c>
      <c r="G288">
        <v>1.79</v>
      </c>
      <c r="H288">
        <v>4.6277885000000003</v>
      </c>
      <c r="K288">
        <v>20.199747840993318</v>
      </c>
      <c r="L288">
        <v>20.260910317988486</v>
      </c>
      <c r="M288">
        <v>19.443451591862491</v>
      </c>
    </row>
    <row r="289" spans="1:13" x14ac:dyDescent="0.45">
      <c r="A289">
        <v>8.5</v>
      </c>
      <c r="B289">
        <v>0.5</v>
      </c>
      <c r="C289">
        <v>3.43</v>
      </c>
      <c r="D289">
        <v>58.36</v>
      </c>
      <c r="E289">
        <v>14.81</v>
      </c>
      <c r="F289">
        <v>4.9177603999999997</v>
      </c>
      <c r="G289">
        <v>2.2400000000000002</v>
      </c>
      <c r="H289">
        <v>11.394876999999999</v>
      </c>
      <c r="K289">
        <v>10.968090934875416</v>
      </c>
      <c r="L289">
        <v>17.06992292777235</v>
      </c>
      <c r="M289">
        <v>8.3183785579396776</v>
      </c>
    </row>
    <row r="290" spans="1:13" x14ac:dyDescent="0.45">
      <c r="A290">
        <v>7.5</v>
      </c>
      <c r="B290">
        <v>2.4</v>
      </c>
      <c r="C290">
        <v>1.98</v>
      </c>
      <c r="D290">
        <v>24</v>
      </c>
      <c r="E290">
        <v>7.67</v>
      </c>
      <c r="F290">
        <v>6.0985459999999998</v>
      </c>
      <c r="G290">
        <v>1.69</v>
      </c>
      <c r="H290">
        <v>0.45503208000000001</v>
      </c>
      <c r="K290">
        <v>9.6342010130950317</v>
      </c>
      <c r="L290">
        <v>17.787056120781564</v>
      </c>
      <c r="M290">
        <v>21.147301667985499</v>
      </c>
    </row>
    <row r="291" spans="1:13" x14ac:dyDescent="0.45">
      <c r="A291">
        <v>31.6</v>
      </c>
      <c r="B291">
        <v>6</v>
      </c>
      <c r="C291">
        <v>6.85</v>
      </c>
      <c r="D291">
        <v>62.79</v>
      </c>
      <c r="E291">
        <v>16.059999999999999</v>
      </c>
      <c r="F291">
        <v>2.8268551999999998</v>
      </c>
      <c r="G291">
        <v>2.4300000000000002</v>
      </c>
      <c r="H291">
        <v>0.42713487</v>
      </c>
      <c r="K291">
        <v>49.734666113586826</v>
      </c>
      <c r="L291">
        <v>51.106453716344419</v>
      </c>
      <c r="M291">
        <v>54.099972479803377</v>
      </c>
    </row>
    <row r="292" spans="1:13" x14ac:dyDescent="0.45">
      <c r="A292">
        <v>50.9</v>
      </c>
      <c r="B292">
        <v>2.6</v>
      </c>
      <c r="C292">
        <v>2.67</v>
      </c>
      <c r="D292">
        <v>133.88</v>
      </c>
      <c r="E292">
        <v>32.729999999999997</v>
      </c>
      <c r="F292">
        <v>0.94528789999999996</v>
      </c>
      <c r="G292">
        <v>11.02</v>
      </c>
      <c r="H292">
        <v>2.9997248999999999</v>
      </c>
      <c r="K292">
        <v>50.986089692555538</v>
      </c>
      <c r="L292">
        <v>49.436675280794418</v>
      </c>
      <c r="M292">
        <v>51.065709049989294</v>
      </c>
    </row>
    <row r="293" spans="1:13" x14ac:dyDescent="0.45">
      <c r="A293">
        <v>41.8</v>
      </c>
      <c r="B293">
        <v>3.2</v>
      </c>
      <c r="C293">
        <v>2.87</v>
      </c>
      <c r="D293">
        <v>79.31</v>
      </c>
      <c r="E293">
        <v>20.23</v>
      </c>
      <c r="F293">
        <v>1.8257059</v>
      </c>
      <c r="G293">
        <v>5.85</v>
      </c>
      <c r="H293">
        <v>2.9848944999999998</v>
      </c>
      <c r="K293">
        <v>40.862810558278973</v>
      </c>
      <c r="L293">
        <v>40.61438276642393</v>
      </c>
      <c r="M293">
        <v>41.592256222383163</v>
      </c>
    </row>
    <row r="294" spans="1:13" x14ac:dyDescent="0.45">
      <c r="A294">
        <v>13.8</v>
      </c>
      <c r="B294">
        <v>1</v>
      </c>
      <c r="C294">
        <v>6.63</v>
      </c>
      <c r="D294">
        <v>208.42</v>
      </c>
      <c r="E294">
        <v>30.38</v>
      </c>
      <c r="F294">
        <v>0.80420380000000002</v>
      </c>
      <c r="G294">
        <v>3.03</v>
      </c>
      <c r="H294">
        <v>4.4169980000000004</v>
      </c>
      <c r="K294">
        <v>44.305684588809179</v>
      </c>
      <c r="L294">
        <v>42.989035139025887</v>
      </c>
      <c r="M294">
        <v>43.083452399628037</v>
      </c>
    </row>
    <row r="295" spans="1:13" x14ac:dyDescent="0.45">
      <c r="A295">
        <v>13.4</v>
      </c>
      <c r="B295">
        <v>1.2</v>
      </c>
      <c r="C295">
        <v>1.47</v>
      </c>
      <c r="D295">
        <v>40.700000000000003</v>
      </c>
      <c r="E295">
        <v>22.12</v>
      </c>
      <c r="F295">
        <v>0.98383695000000004</v>
      </c>
      <c r="G295">
        <v>11.93</v>
      </c>
      <c r="H295">
        <v>2.3082660000000002</v>
      </c>
      <c r="K295">
        <v>17.193230346344198</v>
      </c>
      <c r="L295">
        <v>15.121727839252873</v>
      </c>
      <c r="M295">
        <v>16.828253414628705</v>
      </c>
    </row>
    <row r="296" spans="1:13" x14ac:dyDescent="0.45">
      <c r="A296">
        <v>187.1</v>
      </c>
      <c r="B296">
        <v>7.1</v>
      </c>
      <c r="C296">
        <v>3.65</v>
      </c>
      <c r="D296">
        <v>160.62</v>
      </c>
      <c r="E296">
        <v>34.99</v>
      </c>
      <c r="F296">
        <v>0.59266280000000005</v>
      </c>
      <c r="G296">
        <v>26.93</v>
      </c>
      <c r="H296">
        <v>15.020555999999999</v>
      </c>
      <c r="K296">
        <v>113.32466872228218</v>
      </c>
      <c r="L296">
        <v>110.75613208020454</v>
      </c>
      <c r="M296">
        <v>98.801971841794412</v>
      </c>
    </row>
    <row r="297" spans="1:13" x14ac:dyDescent="0.45">
      <c r="A297">
        <v>5.8</v>
      </c>
      <c r="B297">
        <v>-0.2</v>
      </c>
      <c r="C297">
        <v>-3.06</v>
      </c>
      <c r="D297">
        <v>16</v>
      </c>
      <c r="E297">
        <v>-14.68</v>
      </c>
      <c r="F297">
        <v>0</v>
      </c>
      <c r="G297">
        <v>3.87</v>
      </c>
      <c r="H297">
        <v>1.1863722000000001</v>
      </c>
      <c r="K297">
        <v>5.0765466894205611</v>
      </c>
      <c r="L297">
        <v>0.69202788272444304</v>
      </c>
      <c r="M297">
        <v>3.7051828527577393</v>
      </c>
    </row>
    <row r="298" spans="1:13" x14ac:dyDescent="0.45">
      <c r="A298">
        <v>13.5</v>
      </c>
      <c r="B298">
        <v>0.8</v>
      </c>
      <c r="C298">
        <v>3.73</v>
      </c>
      <c r="D298">
        <v>101.36</v>
      </c>
      <c r="E298">
        <v>23.91</v>
      </c>
      <c r="F298">
        <v>2.0261056000000002</v>
      </c>
      <c r="G298">
        <v>5.2</v>
      </c>
      <c r="H298">
        <v>2.7788276999999999</v>
      </c>
      <c r="K298">
        <v>20.102612938367265</v>
      </c>
      <c r="L298">
        <v>20.607066546575837</v>
      </c>
      <c r="M298">
        <v>21.996474802328912</v>
      </c>
    </row>
    <row r="299" spans="1:13" x14ac:dyDescent="0.45">
      <c r="A299">
        <v>132.1</v>
      </c>
      <c r="B299">
        <v>10.5</v>
      </c>
      <c r="C299">
        <v>6.36</v>
      </c>
      <c r="D299">
        <v>158.97</v>
      </c>
      <c r="E299">
        <v>23.83</v>
      </c>
      <c r="F299">
        <v>2.4379940000000002</v>
      </c>
      <c r="G299">
        <v>146.07</v>
      </c>
      <c r="H299">
        <v>5.7702369999999998</v>
      </c>
      <c r="K299">
        <v>125.18185633481158</v>
      </c>
      <c r="L299">
        <v>125.07800098048921</v>
      </c>
      <c r="M299">
        <v>122.89398242522603</v>
      </c>
    </row>
    <row r="300" spans="1:13" x14ac:dyDescent="0.45">
      <c r="A300">
        <v>31.5</v>
      </c>
      <c r="B300">
        <v>7.2</v>
      </c>
      <c r="C300">
        <v>22.74</v>
      </c>
      <c r="D300">
        <v>150.22999999999999</v>
      </c>
      <c r="E300">
        <v>11.68</v>
      </c>
      <c r="F300">
        <v>0.88987760000000005</v>
      </c>
      <c r="G300">
        <v>2.68</v>
      </c>
      <c r="H300">
        <v>0.15318617000000001</v>
      </c>
      <c r="K300">
        <v>46.924020497511023</v>
      </c>
      <c r="L300">
        <v>44.302081053016842</v>
      </c>
      <c r="M300">
        <v>45.896678316530469</v>
      </c>
    </row>
    <row r="301" spans="1:13" x14ac:dyDescent="0.45">
      <c r="A301">
        <v>110.1</v>
      </c>
      <c r="B301">
        <v>9.1999999999999993</v>
      </c>
      <c r="C301">
        <v>2.89</v>
      </c>
      <c r="D301">
        <v>78.38</v>
      </c>
      <c r="E301">
        <v>17.04</v>
      </c>
      <c r="F301">
        <v>2.2618315</v>
      </c>
      <c r="G301">
        <v>2.14</v>
      </c>
      <c r="H301">
        <v>4.9445420000000002</v>
      </c>
      <c r="K301">
        <v>100.15750096081388</v>
      </c>
      <c r="L301">
        <v>100.35353875380989</v>
      </c>
      <c r="M301">
        <v>98.886770677924133</v>
      </c>
    </row>
    <row r="302" spans="1:13" x14ac:dyDescent="0.45">
      <c r="A302">
        <v>152.19999999999999</v>
      </c>
      <c r="B302">
        <v>8.6999999999999993</v>
      </c>
      <c r="C302">
        <v>1.4</v>
      </c>
      <c r="D302">
        <v>54.73</v>
      </c>
      <c r="E302">
        <v>13.75</v>
      </c>
      <c r="F302">
        <v>3.435934</v>
      </c>
      <c r="G302">
        <v>4.0199999999999996</v>
      </c>
      <c r="H302">
        <v>5.0893344999999997</v>
      </c>
      <c r="K302">
        <v>90.858919781962598</v>
      </c>
      <c r="L302">
        <v>93.340888092252357</v>
      </c>
      <c r="M302">
        <v>91.705328098801019</v>
      </c>
    </row>
    <row r="303" spans="1:13" x14ac:dyDescent="0.45">
      <c r="A303">
        <v>48.7</v>
      </c>
      <c r="B303">
        <v>0</v>
      </c>
      <c r="C303">
        <v>0.63</v>
      </c>
      <c r="D303">
        <v>44.28</v>
      </c>
      <c r="E303">
        <v>8.52</v>
      </c>
      <c r="F303">
        <v>3.4587116</v>
      </c>
      <c r="G303">
        <v>0.85</v>
      </c>
      <c r="H303">
        <v>1.0496863999999999</v>
      </c>
      <c r="K303">
        <v>8.1352683454921901E-2</v>
      </c>
      <c r="L303">
        <v>3.1638725265384187</v>
      </c>
      <c r="M303">
        <v>6.3098206817081222</v>
      </c>
    </row>
    <row r="304" spans="1:13" x14ac:dyDescent="0.45">
      <c r="A304">
        <v>16.399999999999999</v>
      </c>
      <c r="B304">
        <v>0.7</v>
      </c>
      <c r="C304">
        <v>14.24</v>
      </c>
      <c r="D304">
        <v>601</v>
      </c>
      <c r="E304">
        <v>35.56</v>
      </c>
      <c r="F304">
        <v>0</v>
      </c>
      <c r="G304">
        <v>31.69</v>
      </c>
      <c r="H304">
        <v>8.3723069999999993</v>
      </c>
      <c r="K304">
        <v>118.31545768749716</v>
      </c>
      <c r="L304">
        <v>117.56104211115381</v>
      </c>
      <c r="M304">
        <v>115.46676055217183</v>
      </c>
    </row>
    <row r="305" spans="1:13" x14ac:dyDescent="0.45">
      <c r="A305">
        <v>19.600000000000001</v>
      </c>
      <c r="B305">
        <v>2.7</v>
      </c>
      <c r="C305">
        <v>1.92</v>
      </c>
      <c r="D305">
        <v>33.5</v>
      </c>
      <c r="E305">
        <v>29.65</v>
      </c>
      <c r="F305">
        <v>1.2687428000000001</v>
      </c>
      <c r="G305">
        <v>3.09</v>
      </c>
      <c r="H305">
        <v>2.2276718999999998</v>
      </c>
      <c r="K305">
        <v>29.306053901201771</v>
      </c>
      <c r="L305">
        <v>27.804112891315906</v>
      </c>
      <c r="M305">
        <v>29.522760405883506</v>
      </c>
    </row>
    <row r="306" spans="1:13" x14ac:dyDescent="0.45">
      <c r="A306">
        <v>10.1</v>
      </c>
      <c r="B306">
        <v>0.5</v>
      </c>
      <c r="C306">
        <v>3.31</v>
      </c>
      <c r="D306">
        <v>60.03</v>
      </c>
      <c r="E306">
        <v>14.29</v>
      </c>
      <c r="F306">
        <v>0</v>
      </c>
      <c r="G306">
        <v>5.4</v>
      </c>
      <c r="H306">
        <v>3.1455926999999999</v>
      </c>
      <c r="K306">
        <v>12.382811674991078</v>
      </c>
      <c r="L306">
        <v>8.3716932271479951</v>
      </c>
      <c r="M306">
        <v>8.9476301028764134</v>
      </c>
    </row>
    <row r="307" spans="1:13" x14ac:dyDescent="0.45">
      <c r="A307">
        <v>19.399999999999999</v>
      </c>
      <c r="B307">
        <v>1</v>
      </c>
      <c r="C307">
        <v>0.66</v>
      </c>
      <c r="D307">
        <v>79.900000000000006</v>
      </c>
      <c r="E307">
        <v>21.77</v>
      </c>
      <c r="F307">
        <v>1.7512966000000001</v>
      </c>
      <c r="G307">
        <v>5.9</v>
      </c>
      <c r="H307">
        <v>7.4475182999999996</v>
      </c>
      <c r="K307">
        <v>30.054117400113899</v>
      </c>
      <c r="L307">
        <v>29.88576014994679</v>
      </c>
      <c r="M307">
        <v>26.251039640860473</v>
      </c>
    </row>
    <row r="308" spans="1:13" x14ac:dyDescent="0.45">
      <c r="A308">
        <v>48.6</v>
      </c>
      <c r="B308">
        <v>12.5</v>
      </c>
      <c r="C308">
        <v>4.3600000000000003</v>
      </c>
      <c r="D308">
        <v>40</v>
      </c>
      <c r="E308">
        <v>9.01</v>
      </c>
      <c r="F308">
        <v>0</v>
      </c>
      <c r="G308">
        <v>2.02</v>
      </c>
      <c r="H308">
        <v>2.1912805999999998</v>
      </c>
      <c r="K308">
        <v>120.98153125037028</v>
      </c>
      <c r="L308">
        <v>115.91008160458334</v>
      </c>
      <c r="M308">
        <v>116.80249832879737</v>
      </c>
    </row>
    <row r="309" spans="1:13" x14ac:dyDescent="0.45">
      <c r="A309">
        <v>690</v>
      </c>
      <c r="B309">
        <v>41.1</v>
      </c>
      <c r="C309">
        <v>2.97</v>
      </c>
      <c r="D309">
        <v>85.01</v>
      </c>
      <c r="E309">
        <v>25.76</v>
      </c>
      <c r="F309">
        <v>1.8747908</v>
      </c>
      <c r="G309">
        <v>9.49</v>
      </c>
      <c r="H309">
        <v>7.1130966999999998</v>
      </c>
      <c r="K309">
        <v>417.46076098126639</v>
      </c>
      <c r="L309">
        <v>414.63756618894405</v>
      </c>
      <c r="M309">
        <v>409.90231536474624</v>
      </c>
    </row>
    <row r="310" spans="1:13" x14ac:dyDescent="0.45">
      <c r="A310">
        <v>10</v>
      </c>
      <c r="B310">
        <v>0.9</v>
      </c>
      <c r="C310">
        <v>2.86</v>
      </c>
      <c r="D310">
        <v>85.39</v>
      </c>
      <c r="E310">
        <v>14.38</v>
      </c>
      <c r="F310">
        <v>4.1965199999999996</v>
      </c>
      <c r="G310">
        <v>1.6</v>
      </c>
      <c r="H310">
        <v>6.6291074999999999</v>
      </c>
      <c r="K310">
        <v>18.309188065333483</v>
      </c>
      <c r="L310">
        <v>23.100924948152816</v>
      </c>
      <c r="M310">
        <v>20.019202709204801</v>
      </c>
    </row>
    <row r="311" spans="1:13" x14ac:dyDescent="0.45">
      <c r="A311">
        <v>19.899999999999999</v>
      </c>
      <c r="B311">
        <v>1.8</v>
      </c>
      <c r="C311">
        <v>12.48</v>
      </c>
      <c r="D311">
        <v>256.57</v>
      </c>
      <c r="E311">
        <v>19.079999999999998</v>
      </c>
      <c r="F311">
        <v>0</v>
      </c>
      <c r="G311">
        <v>2.88</v>
      </c>
      <c r="H311">
        <v>2.7977824</v>
      </c>
      <c r="K311">
        <v>47.699092470653298</v>
      </c>
      <c r="L311">
        <v>44.69804970704714</v>
      </c>
      <c r="M311">
        <v>45.991664987456659</v>
      </c>
    </row>
    <row r="312" spans="1:13" x14ac:dyDescent="0.45">
      <c r="A312">
        <v>12.4</v>
      </c>
      <c r="B312">
        <v>4.7</v>
      </c>
      <c r="C312">
        <v>9.27</v>
      </c>
      <c r="D312">
        <v>74.510000000000005</v>
      </c>
      <c r="E312">
        <v>17.66</v>
      </c>
      <c r="F312">
        <v>2.1533612999999998</v>
      </c>
      <c r="G312">
        <v>1.34</v>
      </c>
      <c r="H312">
        <v>1.2371694</v>
      </c>
      <c r="K312">
        <v>36.453632140556699</v>
      </c>
      <c r="L312">
        <v>36.567959682287501</v>
      </c>
      <c r="M312">
        <v>38.448449870798328</v>
      </c>
    </row>
    <row r="313" spans="1:13" x14ac:dyDescent="0.45">
      <c r="A313">
        <v>65.8</v>
      </c>
      <c r="B313">
        <v>4.4000000000000004</v>
      </c>
      <c r="C313">
        <v>1.91</v>
      </c>
      <c r="D313">
        <v>42.68</v>
      </c>
      <c r="E313">
        <v>19.850000000000001</v>
      </c>
      <c r="F313">
        <v>1.9977298999999999</v>
      </c>
      <c r="G313">
        <v>2.52</v>
      </c>
      <c r="H313">
        <v>2.5708609</v>
      </c>
      <c r="K313">
        <v>45.752377352759545</v>
      </c>
      <c r="L313">
        <v>45.579441639599871</v>
      </c>
      <c r="M313">
        <v>46.81471462535243</v>
      </c>
    </row>
    <row r="314" spans="1:13" x14ac:dyDescent="0.45">
      <c r="A314">
        <v>53.1</v>
      </c>
      <c r="B314">
        <v>4.2</v>
      </c>
      <c r="C314">
        <v>5.09</v>
      </c>
      <c r="D314">
        <v>119.08</v>
      </c>
      <c r="E314">
        <v>21.53</v>
      </c>
      <c r="F314">
        <v>1.7938708999999999</v>
      </c>
      <c r="G314">
        <v>7.96</v>
      </c>
      <c r="H314">
        <v>3.589782</v>
      </c>
      <c r="K314">
        <v>55.240802987521121</v>
      </c>
      <c r="L314">
        <v>55.050742573897523</v>
      </c>
      <c r="M314">
        <v>55.339932713945501</v>
      </c>
    </row>
    <row r="315" spans="1:13" x14ac:dyDescent="0.45">
      <c r="A315">
        <v>36.4</v>
      </c>
      <c r="B315">
        <v>1.2</v>
      </c>
      <c r="C315">
        <v>1.19</v>
      </c>
      <c r="D315">
        <v>61.99</v>
      </c>
      <c r="E315">
        <v>42.17</v>
      </c>
      <c r="F315">
        <v>0</v>
      </c>
      <c r="G315">
        <v>9.56</v>
      </c>
      <c r="H315">
        <v>14.152587</v>
      </c>
      <c r="K315">
        <v>40.305547394738674</v>
      </c>
      <c r="L315">
        <v>36.580433851715377</v>
      </c>
      <c r="M315">
        <v>25.40564784039185</v>
      </c>
    </row>
    <row r="316" spans="1:13" x14ac:dyDescent="0.45">
      <c r="A316">
        <v>30.2</v>
      </c>
      <c r="B316">
        <v>1.2</v>
      </c>
      <c r="C316">
        <v>1.35</v>
      </c>
      <c r="D316">
        <v>152.13999999999999</v>
      </c>
      <c r="E316">
        <v>26.55</v>
      </c>
      <c r="F316">
        <v>1.1140650000000001</v>
      </c>
      <c r="G316">
        <v>73.84</v>
      </c>
      <c r="H316">
        <v>9.9329739999999997</v>
      </c>
      <c r="K316">
        <v>51.73246773225793</v>
      </c>
      <c r="L316">
        <v>50.235154445935464</v>
      </c>
      <c r="M316">
        <v>44.361512620709192</v>
      </c>
    </row>
    <row r="317" spans="1:13" x14ac:dyDescent="0.45">
      <c r="A317">
        <v>97.5</v>
      </c>
      <c r="B317">
        <v>0</v>
      </c>
      <c r="C317">
        <v>3.09</v>
      </c>
      <c r="D317">
        <v>51.79</v>
      </c>
      <c r="E317">
        <v>14.23</v>
      </c>
      <c r="F317">
        <v>1.8331805000000001</v>
      </c>
      <c r="G317">
        <v>1.33</v>
      </c>
      <c r="H317">
        <v>2.2258841999999999</v>
      </c>
      <c r="K317">
        <v>1.3228550136663351</v>
      </c>
      <c r="L317">
        <v>1.1016525168391249</v>
      </c>
      <c r="M317">
        <v>2.6920650657662906</v>
      </c>
    </row>
    <row r="318" spans="1:13" x14ac:dyDescent="0.45">
      <c r="A318">
        <v>16.600000000000001</v>
      </c>
      <c r="B318">
        <v>1.6</v>
      </c>
      <c r="C318">
        <v>-1.08</v>
      </c>
      <c r="D318">
        <v>98.74</v>
      </c>
      <c r="E318">
        <v>19.03</v>
      </c>
      <c r="F318">
        <v>2.0266978999999998</v>
      </c>
      <c r="G318">
        <v>6.81</v>
      </c>
      <c r="H318">
        <v>2.6092634000000001</v>
      </c>
      <c r="K318">
        <v>37.875668149844017</v>
      </c>
      <c r="L318">
        <v>38.373899649175598</v>
      </c>
      <c r="M318">
        <v>40.55962690729865</v>
      </c>
    </row>
    <row r="319" spans="1:13" x14ac:dyDescent="0.45">
      <c r="A319">
        <v>21.7</v>
      </c>
      <c r="B319">
        <v>3.1</v>
      </c>
      <c r="C319">
        <v>0.93</v>
      </c>
      <c r="D319">
        <v>39.25</v>
      </c>
      <c r="E319">
        <v>8.35</v>
      </c>
      <c r="F319">
        <v>0</v>
      </c>
      <c r="G319">
        <v>1.63</v>
      </c>
      <c r="H319">
        <v>2.5358944000000001</v>
      </c>
      <c r="K319">
        <v>37.320949620602448</v>
      </c>
      <c r="L319">
        <v>33.014402984715559</v>
      </c>
      <c r="M319">
        <v>34.300242097898071</v>
      </c>
    </row>
    <row r="320" spans="1:13" x14ac:dyDescent="0.45">
      <c r="A320">
        <v>12.8</v>
      </c>
      <c r="B320">
        <v>1.2</v>
      </c>
      <c r="C320">
        <v>4.32</v>
      </c>
      <c r="D320">
        <v>75.209999999999994</v>
      </c>
      <c r="E320">
        <v>17.78</v>
      </c>
      <c r="F320">
        <v>1.9671282999999999</v>
      </c>
      <c r="G320">
        <v>2.25</v>
      </c>
      <c r="H320">
        <v>3.2591082999999998</v>
      </c>
      <c r="K320">
        <v>16.711157262894428</v>
      </c>
      <c r="L320">
        <v>16.829111763182429</v>
      </c>
      <c r="M320">
        <v>17.278396804574882</v>
      </c>
    </row>
    <row r="321" spans="1:13" x14ac:dyDescent="0.45">
      <c r="A321">
        <v>12.9</v>
      </c>
      <c r="B321">
        <v>0.4</v>
      </c>
      <c r="C321">
        <v>-6.4</v>
      </c>
      <c r="D321">
        <v>32.64</v>
      </c>
      <c r="E321">
        <v>-77.709999999999994</v>
      </c>
      <c r="F321">
        <v>0.58737150000000005</v>
      </c>
      <c r="G321">
        <v>0.91</v>
      </c>
      <c r="H321">
        <v>2.5209633999999999</v>
      </c>
      <c r="K321">
        <v>15.52783755633814</v>
      </c>
      <c r="L321">
        <v>11.813526349484698</v>
      </c>
      <c r="M321">
        <v>13.1450726076578</v>
      </c>
    </row>
    <row r="322" spans="1:13" x14ac:dyDescent="0.45">
      <c r="A322">
        <v>3.7</v>
      </c>
      <c r="B322">
        <v>0</v>
      </c>
      <c r="C322">
        <v>1.01</v>
      </c>
      <c r="D322">
        <v>13.38</v>
      </c>
      <c r="E322">
        <v>7.56</v>
      </c>
      <c r="F322">
        <v>4.5584043999999997</v>
      </c>
      <c r="G322">
        <v>1.02</v>
      </c>
      <c r="H322">
        <v>0.69865790000000005</v>
      </c>
      <c r="K322">
        <v>-10.493105075118457</v>
      </c>
      <c r="L322">
        <v>-5.3734109862057284</v>
      </c>
      <c r="M322">
        <v>-2.1618425342314773</v>
      </c>
    </row>
    <row r="323" spans="1:13" x14ac:dyDescent="0.45">
      <c r="A323">
        <v>15.4</v>
      </c>
      <c r="B323">
        <v>1.1000000000000001</v>
      </c>
      <c r="C323">
        <v>1.81</v>
      </c>
      <c r="D323">
        <v>55.85</v>
      </c>
      <c r="E323">
        <v>26.1</v>
      </c>
      <c r="F323">
        <v>1.3881657999999999</v>
      </c>
      <c r="G323">
        <v>5.46</v>
      </c>
      <c r="H323">
        <v>3.6687026</v>
      </c>
      <c r="K323">
        <v>19.923765958292581</v>
      </c>
      <c r="L323">
        <v>18.871576108295962</v>
      </c>
      <c r="M323">
        <v>19.175189303451006</v>
      </c>
    </row>
    <row r="324" spans="1:13" x14ac:dyDescent="0.45">
      <c r="A324">
        <v>114.8</v>
      </c>
      <c r="B324">
        <v>0.8</v>
      </c>
      <c r="C324">
        <v>1.25</v>
      </c>
      <c r="D324">
        <v>250.1</v>
      </c>
      <c r="E324">
        <v>200.08</v>
      </c>
      <c r="F324">
        <v>0</v>
      </c>
      <c r="G324">
        <v>30.8</v>
      </c>
      <c r="H324">
        <v>9.8615940000000002</v>
      </c>
      <c r="K324">
        <v>91.82917011890477</v>
      </c>
      <c r="L324">
        <v>91.00740901265624</v>
      </c>
      <c r="M324">
        <v>88.258781554747529</v>
      </c>
    </row>
    <row r="325" spans="1:13" x14ac:dyDescent="0.45">
      <c r="A325">
        <v>14.4</v>
      </c>
      <c r="B325">
        <v>2</v>
      </c>
      <c r="C325">
        <v>1.17</v>
      </c>
      <c r="D325">
        <v>27.91</v>
      </c>
      <c r="E325">
        <v>9.7200000000000006</v>
      </c>
      <c r="F325">
        <v>3.1228785999999999</v>
      </c>
      <c r="G325">
        <v>1.01</v>
      </c>
      <c r="H325">
        <v>1.2810478999999999</v>
      </c>
      <c r="K325">
        <v>15.784514958123184</v>
      </c>
      <c r="L325">
        <v>17.921585645743782</v>
      </c>
      <c r="M325">
        <v>20.541741970940123</v>
      </c>
    </row>
    <row r="326" spans="1:13" x14ac:dyDescent="0.45">
      <c r="A326">
        <v>5.7</v>
      </c>
      <c r="B326">
        <v>0.9</v>
      </c>
      <c r="C326">
        <v>-6.5</v>
      </c>
      <c r="D326">
        <v>26.38</v>
      </c>
      <c r="E326">
        <v>13.12</v>
      </c>
      <c r="F326">
        <v>0</v>
      </c>
      <c r="G326">
        <v>4.51</v>
      </c>
      <c r="H326">
        <v>4.7032590000000001</v>
      </c>
      <c r="K326">
        <v>33.392934236300896</v>
      </c>
      <c r="L326">
        <v>29.397553243258614</v>
      </c>
      <c r="M326">
        <v>29.359834150374049</v>
      </c>
    </row>
    <row r="327" spans="1:13" x14ac:dyDescent="0.45">
      <c r="A327">
        <v>19.7</v>
      </c>
      <c r="B327">
        <v>1.5</v>
      </c>
      <c r="C327">
        <v>-1.18</v>
      </c>
      <c r="D327">
        <v>36.61</v>
      </c>
      <c r="E327">
        <v>26.34</v>
      </c>
      <c r="F327">
        <v>0.81015389999999998</v>
      </c>
      <c r="G327">
        <v>1.81</v>
      </c>
      <c r="H327">
        <v>3.7076392</v>
      </c>
      <c r="K327">
        <v>27.773871560354937</v>
      </c>
      <c r="L327">
        <v>25.491688361909489</v>
      </c>
      <c r="M327">
        <v>26.022613192309976</v>
      </c>
    </row>
    <row r="328" spans="1:13" x14ac:dyDescent="0.45">
      <c r="A328">
        <v>9.4</v>
      </c>
      <c r="B328">
        <v>0.7</v>
      </c>
      <c r="C328">
        <v>-1.28</v>
      </c>
      <c r="D328">
        <v>15.65</v>
      </c>
      <c r="E328">
        <v>43.47</v>
      </c>
      <c r="F328">
        <v>1.24533</v>
      </c>
      <c r="G328">
        <v>0.85</v>
      </c>
      <c r="H328">
        <v>1.5518167</v>
      </c>
      <c r="K328">
        <v>14.13316062681514</v>
      </c>
      <c r="L328">
        <v>12.875374458523636</v>
      </c>
      <c r="M328">
        <v>15.91500116212648</v>
      </c>
    </row>
    <row r="329" spans="1:13" x14ac:dyDescent="0.45">
      <c r="A329">
        <v>9.5</v>
      </c>
      <c r="B329">
        <v>0.7</v>
      </c>
      <c r="C329">
        <v>-1.28</v>
      </c>
      <c r="D329">
        <v>15.85</v>
      </c>
      <c r="E329">
        <v>44.03</v>
      </c>
      <c r="F329">
        <v>1.2269939000000001</v>
      </c>
      <c r="G329">
        <v>0.86</v>
      </c>
      <c r="H329">
        <v>1.5718216</v>
      </c>
      <c r="K329">
        <v>14.302707202090136</v>
      </c>
      <c r="L329">
        <v>13.014771795140668</v>
      </c>
      <c r="M329">
        <v>16.040594382889239</v>
      </c>
    </row>
    <row r="330" spans="1:13" x14ac:dyDescent="0.45">
      <c r="A330">
        <v>69.7</v>
      </c>
      <c r="B330">
        <v>9</v>
      </c>
      <c r="C330">
        <v>11.39</v>
      </c>
      <c r="D330">
        <v>145.29</v>
      </c>
      <c r="E330">
        <v>21.65</v>
      </c>
      <c r="F330">
        <v>2.6537917000000002</v>
      </c>
      <c r="G330">
        <v>2.75</v>
      </c>
      <c r="H330">
        <v>4.0916980000000001</v>
      </c>
      <c r="K330">
        <v>92.00239740695676</v>
      </c>
      <c r="L330">
        <v>93.268597088469051</v>
      </c>
      <c r="M330">
        <v>92.133968310703935</v>
      </c>
    </row>
    <row r="331" spans="1:13" x14ac:dyDescent="0.45">
      <c r="A331">
        <v>13.4</v>
      </c>
      <c r="B331">
        <v>1.8</v>
      </c>
      <c r="C331">
        <v>1.39</v>
      </c>
      <c r="D331">
        <v>33.9</v>
      </c>
      <c r="E331">
        <v>18.73</v>
      </c>
      <c r="F331">
        <v>3.6208732000000001</v>
      </c>
      <c r="G331">
        <v>3.02</v>
      </c>
      <c r="H331">
        <v>2.7288198000000001</v>
      </c>
      <c r="K331">
        <v>16.317149242481076</v>
      </c>
      <c r="L331">
        <v>19.61047807319612</v>
      </c>
      <c r="M331">
        <v>20.735919085053236</v>
      </c>
    </row>
    <row r="332" spans="1:13" x14ac:dyDescent="0.45">
      <c r="A332">
        <v>106.8</v>
      </c>
      <c r="B332">
        <v>5.2</v>
      </c>
      <c r="C332">
        <v>2.5099999999999998</v>
      </c>
      <c r="D332">
        <v>62.49</v>
      </c>
      <c r="E332">
        <v>24.9</v>
      </c>
      <c r="F332">
        <v>1.2189547999999999</v>
      </c>
      <c r="G332">
        <v>8.91</v>
      </c>
      <c r="H332">
        <v>3.0549932000000002</v>
      </c>
      <c r="K332">
        <v>59.372406322440987</v>
      </c>
      <c r="L332">
        <v>57.661718017226967</v>
      </c>
      <c r="M332">
        <v>58.469049797344965</v>
      </c>
    </row>
    <row r="333" spans="1:13" x14ac:dyDescent="0.45">
      <c r="A333">
        <v>7.8</v>
      </c>
      <c r="B333">
        <v>1.4</v>
      </c>
      <c r="C333">
        <v>1.02</v>
      </c>
      <c r="D333">
        <v>22.51</v>
      </c>
      <c r="E333">
        <v>19.57</v>
      </c>
      <c r="F333">
        <v>3.3780858999999999</v>
      </c>
      <c r="G333">
        <v>1.82</v>
      </c>
      <c r="H333">
        <v>2.2361342999999998</v>
      </c>
      <c r="K333">
        <v>10.757916771976644</v>
      </c>
      <c r="L333">
        <v>13.536077729605045</v>
      </c>
      <c r="M333">
        <v>15.198317163958496</v>
      </c>
    </row>
    <row r="334" spans="1:13" x14ac:dyDescent="0.45">
      <c r="A334">
        <v>13.2</v>
      </c>
      <c r="B334">
        <v>-0.5</v>
      </c>
      <c r="C334">
        <v>-2.3199999999999998</v>
      </c>
      <c r="D334">
        <v>25.43</v>
      </c>
      <c r="E334">
        <v>105.96</v>
      </c>
      <c r="F334">
        <v>1.4771049000000001</v>
      </c>
      <c r="G334">
        <v>1.44</v>
      </c>
      <c r="H334">
        <v>4.6976446999999997</v>
      </c>
      <c r="K334">
        <v>17.304239087457624</v>
      </c>
      <c r="L334">
        <v>17.402658902757885</v>
      </c>
      <c r="M334">
        <v>17.956610529517256</v>
      </c>
    </row>
    <row r="335" spans="1:13" x14ac:dyDescent="0.45">
      <c r="A335">
        <v>8.1999999999999993</v>
      </c>
      <c r="B335">
        <v>1.4</v>
      </c>
      <c r="C335">
        <v>2.02</v>
      </c>
      <c r="D335">
        <v>47.23</v>
      </c>
      <c r="E335">
        <v>15.04</v>
      </c>
      <c r="F335">
        <v>3.0020285000000002</v>
      </c>
      <c r="G335">
        <v>9.1</v>
      </c>
      <c r="H335">
        <v>0.74603414999999995</v>
      </c>
      <c r="K335">
        <v>12.568040372705669</v>
      </c>
      <c r="L335">
        <v>14.603731484419221</v>
      </c>
      <c r="M335">
        <v>17.950232791746611</v>
      </c>
    </row>
    <row r="336" spans="1:13" x14ac:dyDescent="0.45">
      <c r="A336">
        <v>40.5</v>
      </c>
      <c r="B336">
        <v>4.7</v>
      </c>
      <c r="C336">
        <v>18.73</v>
      </c>
      <c r="D336">
        <v>136.88999999999999</v>
      </c>
      <c r="E336">
        <v>20.65</v>
      </c>
      <c r="F336">
        <v>2.0185029999999999</v>
      </c>
      <c r="G336">
        <v>3.09</v>
      </c>
      <c r="H336">
        <v>3.8525908000000002</v>
      </c>
      <c r="K336">
        <v>31.810047600561774</v>
      </c>
      <c r="L336">
        <v>31.806432325391839</v>
      </c>
      <c r="M336">
        <v>29.900866189105663</v>
      </c>
    </row>
    <row r="337" spans="1:13" x14ac:dyDescent="0.45">
      <c r="A337">
        <v>22.9</v>
      </c>
      <c r="B337">
        <v>0</v>
      </c>
      <c r="C337">
        <v>4.92</v>
      </c>
      <c r="D337">
        <v>96.2</v>
      </c>
      <c r="E337">
        <v>19.96</v>
      </c>
      <c r="F337">
        <v>1.6678249000000001</v>
      </c>
      <c r="G337">
        <v>2.44</v>
      </c>
      <c r="H337">
        <v>4.0317280000000002</v>
      </c>
      <c r="K337">
        <v>10.016165707033121</v>
      </c>
      <c r="L337">
        <v>9.7477455539114874</v>
      </c>
      <c r="M337">
        <v>9.4788772466245188</v>
      </c>
    </row>
    <row r="338" spans="1:13" x14ac:dyDescent="0.45">
      <c r="A338">
        <v>58.8</v>
      </c>
      <c r="B338">
        <v>3.9</v>
      </c>
      <c r="C338">
        <v>11.47</v>
      </c>
      <c r="D338">
        <v>324.01</v>
      </c>
      <c r="E338">
        <v>24.4</v>
      </c>
      <c r="F338">
        <v>1.3030858999999999</v>
      </c>
      <c r="G338">
        <v>7.96</v>
      </c>
      <c r="H338">
        <v>2.2095760000000002</v>
      </c>
      <c r="K338">
        <v>82.987377632301886</v>
      </c>
      <c r="L338">
        <v>83.008048417449928</v>
      </c>
      <c r="M338">
        <v>85.688727145851232</v>
      </c>
    </row>
    <row r="339" spans="1:13" x14ac:dyDescent="0.45">
      <c r="A339">
        <v>13.2</v>
      </c>
      <c r="B339">
        <v>1.5</v>
      </c>
      <c r="C339">
        <v>2.78</v>
      </c>
      <c r="D339">
        <v>56.01</v>
      </c>
      <c r="E339">
        <v>15.35</v>
      </c>
      <c r="F339">
        <v>0</v>
      </c>
      <c r="G339">
        <v>2.35</v>
      </c>
      <c r="H339">
        <v>3.2066104000000002</v>
      </c>
      <c r="K339">
        <v>22.665836101747274</v>
      </c>
      <c r="L339">
        <v>18.605690768916549</v>
      </c>
      <c r="M339">
        <v>19.140094190621291</v>
      </c>
    </row>
    <row r="340" spans="1:13" x14ac:dyDescent="0.45">
      <c r="A340">
        <v>8</v>
      </c>
      <c r="B340">
        <v>1.8</v>
      </c>
      <c r="C340">
        <v>-2.23</v>
      </c>
      <c r="D340">
        <v>24</v>
      </c>
      <c r="E340">
        <v>17.78</v>
      </c>
      <c r="F340">
        <v>1.4195584000000001</v>
      </c>
      <c r="G340">
        <v>6.73</v>
      </c>
      <c r="H340">
        <v>0.99330209999999997</v>
      </c>
      <c r="K340">
        <v>25.079288493220275</v>
      </c>
      <c r="L340">
        <v>23.846834231912627</v>
      </c>
      <c r="M340">
        <v>27.370307848806132</v>
      </c>
    </row>
    <row r="341" spans="1:13" x14ac:dyDescent="0.45">
      <c r="A341">
        <v>20</v>
      </c>
      <c r="B341">
        <v>2.6</v>
      </c>
      <c r="C341">
        <v>4.0999999999999996</v>
      </c>
      <c r="D341">
        <v>60.38</v>
      </c>
      <c r="E341">
        <v>17.010000000000002</v>
      </c>
      <c r="F341">
        <v>2.4157660000000001</v>
      </c>
      <c r="G341">
        <v>2.34</v>
      </c>
      <c r="H341">
        <v>0.99837582999999996</v>
      </c>
      <c r="K341">
        <v>24.023780219107259</v>
      </c>
      <c r="L341">
        <v>24.867305727850333</v>
      </c>
      <c r="M341">
        <v>27.72024913456066</v>
      </c>
    </row>
    <row r="342" spans="1:13" x14ac:dyDescent="0.45">
      <c r="A342">
        <v>138.69999999999999</v>
      </c>
      <c r="B342">
        <v>3.1</v>
      </c>
      <c r="C342">
        <v>2.57</v>
      </c>
      <c r="D342">
        <v>217.52</v>
      </c>
      <c r="E342">
        <v>82.08</v>
      </c>
      <c r="F342">
        <v>0.26223775999999999</v>
      </c>
      <c r="G342">
        <v>20.39</v>
      </c>
      <c r="H342">
        <v>20.094294000000001</v>
      </c>
      <c r="K342">
        <v>101.28550709227702</v>
      </c>
      <c r="L342">
        <v>99.303290337806047</v>
      </c>
      <c r="M342">
        <v>82.986224776005002</v>
      </c>
    </row>
    <row r="343" spans="1:13" x14ac:dyDescent="0.45">
      <c r="A343">
        <v>21.4</v>
      </c>
      <c r="B343">
        <v>2</v>
      </c>
      <c r="C343">
        <v>10.73</v>
      </c>
      <c r="D343">
        <v>252.22</v>
      </c>
      <c r="E343">
        <v>21.91</v>
      </c>
      <c r="F343">
        <v>0</v>
      </c>
      <c r="G343">
        <v>34.119999999999997</v>
      </c>
      <c r="H343">
        <v>3.1934319000000002</v>
      </c>
      <c r="K343">
        <v>53.79088506395771</v>
      </c>
      <c r="L343">
        <v>50.594116592559715</v>
      </c>
      <c r="M343">
        <v>51.693819552365568</v>
      </c>
    </row>
    <row r="344" spans="1:13" x14ac:dyDescent="0.45">
      <c r="A344">
        <v>17.399999999999999</v>
      </c>
      <c r="B344">
        <v>2.4</v>
      </c>
      <c r="C344">
        <v>4.79</v>
      </c>
      <c r="D344">
        <v>75.91</v>
      </c>
      <c r="E344">
        <v>15.27</v>
      </c>
      <c r="F344">
        <v>3.1838684000000002</v>
      </c>
      <c r="G344">
        <v>6.66</v>
      </c>
      <c r="H344">
        <v>1.5327156</v>
      </c>
      <c r="K344">
        <v>22.782564598129184</v>
      </c>
      <c r="L344">
        <v>25.249506600637268</v>
      </c>
      <c r="M344">
        <v>27.513331186238872</v>
      </c>
    </row>
    <row r="345" spans="1:13" x14ac:dyDescent="0.45">
      <c r="A345">
        <v>22</v>
      </c>
      <c r="B345">
        <v>1.9</v>
      </c>
      <c r="C345">
        <v>1.66</v>
      </c>
      <c r="D345">
        <v>54.4</v>
      </c>
      <c r="E345">
        <v>34</v>
      </c>
      <c r="F345">
        <v>5.4436197000000002</v>
      </c>
      <c r="G345">
        <v>4.03</v>
      </c>
      <c r="H345">
        <v>2.6159564999999998</v>
      </c>
      <c r="K345">
        <v>19.136493183790947</v>
      </c>
      <c r="L345">
        <v>26.464128043615425</v>
      </c>
      <c r="M345">
        <v>28.039887125310681</v>
      </c>
    </row>
    <row r="346" spans="1:13" x14ac:dyDescent="0.45">
      <c r="A346">
        <v>202.3</v>
      </c>
      <c r="B346">
        <v>16.5</v>
      </c>
      <c r="C346">
        <v>2.2000000000000002</v>
      </c>
      <c r="D346">
        <v>46.84</v>
      </c>
      <c r="E346">
        <v>18.809999999999999</v>
      </c>
      <c r="F346">
        <v>1.5551463000000001</v>
      </c>
      <c r="G346">
        <v>3.56</v>
      </c>
      <c r="H346">
        <v>5.2561646</v>
      </c>
      <c r="K346">
        <v>168.06718347235099</v>
      </c>
      <c r="L346">
        <v>166.10424349674042</v>
      </c>
      <c r="M346">
        <v>163.91988644762938</v>
      </c>
    </row>
    <row r="347" spans="1:13" x14ac:dyDescent="0.45">
      <c r="A347">
        <v>24.2</v>
      </c>
      <c r="B347">
        <v>3.6</v>
      </c>
      <c r="C347">
        <v>4.75</v>
      </c>
      <c r="D347">
        <v>66.98</v>
      </c>
      <c r="E347">
        <v>15.72</v>
      </c>
      <c r="F347">
        <v>1.455816</v>
      </c>
      <c r="G347">
        <v>3.07</v>
      </c>
      <c r="H347">
        <v>1.2869299999999999</v>
      </c>
      <c r="K347">
        <v>35.904541730144665</v>
      </c>
      <c r="L347">
        <v>34.705947822569584</v>
      </c>
      <c r="M347">
        <v>37.146119160875564</v>
      </c>
    </row>
    <row r="348" spans="1:13" x14ac:dyDescent="0.45">
      <c r="A348">
        <v>11.1</v>
      </c>
      <c r="B348">
        <v>1.2</v>
      </c>
      <c r="C348">
        <v>7.07</v>
      </c>
      <c r="D348">
        <v>111.95</v>
      </c>
      <c r="E348">
        <v>18.57</v>
      </c>
      <c r="F348">
        <v>2.1514555999999998</v>
      </c>
      <c r="G348">
        <v>5.54</v>
      </c>
      <c r="H348">
        <v>1.741522</v>
      </c>
      <c r="K348">
        <v>16.504446712991651</v>
      </c>
      <c r="L348">
        <v>17.152417966750754</v>
      </c>
      <c r="M348">
        <v>19.226315183908177</v>
      </c>
    </row>
    <row r="349" spans="1:13" x14ac:dyDescent="0.45">
      <c r="A349">
        <v>24.4</v>
      </c>
      <c r="B349">
        <v>2.1</v>
      </c>
      <c r="C349">
        <v>7.24</v>
      </c>
      <c r="D349">
        <v>174.51</v>
      </c>
      <c r="E349">
        <v>21.6</v>
      </c>
      <c r="F349">
        <v>1.4401832999999999</v>
      </c>
      <c r="G349">
        <v>4.3899999999999997</v>
      </c>
      <c r="H349">
        <v>1.8652664000000001</v>
      </c>
      <c r="K349">
        <v>40.84373642253972</v>
      </c>
      <c r="L349">
        <v>40.411508106002479</v>
      </c>
      <c r="M349">
        <v>42.86121768956076</v>
      </c>
    </row>
    <row r="350" spans="1:13" x14ac:dyDescent="0.45">
      <c r="A350">
        <v>3.2</v>
      </c>
      <c r="B350">
        <v>0.4</v>
      </c>
      <c r="C350">
        <v>1.79</v>
      </c>
      <c r="D350">
        <v>32.880000000000003</v>
      </c>
      <c r="E350">
        <v>14.05</v>
      </c>
      <c r="F350">
        <v>3.0723782000000002</v>
      </c>
      <c r="G350">
        <v>2.34</v>
      </c>
      <c r="H350">
        <v>0.78727919999999996</v>
      </c>
      <c r="K350">
        <v>-0.13772244246980681</v>
      </c>
      <c r="L350">
        <v>2.0665022009162404</v>
      </c>
      <c r="M350">
        <v>5.2972059884033742</v>
      </c>
    </row>
    <row r="351" spans="1:13" x14ac:dyDescent="0.45">
      <c r="A351">
        <v>23.3</v>
      </c>
      <c r="B351">
        <v>1.4</v>
      </c>
      <c r="C351">
        <v>2.2599999999999998</v>
      </c>
      <c r="D351">
        <v>61.86</v>
      </c>
      <c r="E351">
        <v>27.49</v>
      </c>
      <c r="F351">
        <v>3.0892800999999999</v>
      </c>
      <c r="G351">
        <v>11.77</v>
      </c>
      <c r="H351">
        <v>7.2484869999999999</v>
      </c>
      <c r="K351">
        <v>23.8966209097565</v>
      </c>
      <c r="L351">
        <v>26.309730045654874</v>
      </c>
      <c r="M351">
        <v>22.569196024074223</v>
      </c>
    </row>
    <row r="352" spans="1:13" x14ac:dyDescent="0.45">
      <c r="A352">
        <v>90.7</v>
      </c>
      <c r="B352">
        <v>2.9</v>
      </c>
      <c r="C352">
        <v>1.47</v>
      </c>
      <c r="D352">
        <v>72.319999999999993</v>
      </c>
      <c r="E352">
        <v>49.53</v>
      </c>
      <c r="F352">
        <v>0</v>
      </c>
      <c r="G352">
        <v>5.81</v>
      </c>
      <c r="H352">
        <v>6.9356960000000001</v>
      </c>
      <c r="K352">
        <v>51.238246118437175</v>
      </c>
      <c r="L352">
        <v>47.575811877471857</v>
      </c>
      <c r="M352">
        <v>44.625645184515783</v>
      </c>
    </row>
    <row r="353" spans="1:13" x14ac:dyDescent="0.45">
      <c r="A353">
        <v>12.5</v>
      </c>
      <c r="B353">
        <v>0.9</v>
      </c>
      <c r="C353">
        <v>3.63</v>
      </c>
      <c r="D353">
        <v>66.67</v>
      </c>
      <c r="E353">
        <v>18.89</v>
      </c>
      <c r="F353">
        <v>2.0393300000000001</v>
      </c>
      <c r="G353">
        <v>2.48</v>
      </c>
      <c r="H353">
        <v>2.5191512</v>
      </c>
      <c r="K353">
        <v>12.632248724303537</v>
      </c>
      <c r="L353">
        <v>12.896108072875428</v>
      </c>
      <c r="M353">
        <v>14.232960007419152</v>
      </c>
    </row>
    <row r="354" spans="1:13" x14ac:dyDescent="0.45">
      <c r="A354">
        <v>6.5</v>
      </c>
      <c r="B354">
        <v>0</v>
      </c>
      <c r="C354">
        <v>0.97</v>
      </c>
      <c r="D354">
        <v>18.559999999999999</v>
      </c>
      <c r="E354">
        <v>18.02</v>
      </c>
      <c r="F354">
        <v>3.59375</v>
      </c>
      <c r="G354">
        <v>1.17</v>
      </c>
      <c r="H354">
        <v>3.9272703999999998</v>
      </c>
      <c r="K354">
        <v>-2.4050055895738898</v>
      </c>
      <c r="L354">
        <v>0.87730392306547245</v>
      </c>
      <c r="M354">
        <v>0.6298870787262878</v>
      </c>
    </row>
    <row r="355" spans="1:13" x14ac:dyDescent="0.45">
      <c r="A355">
        <v>8.4</v>
      </c>
      <c r="B355">
        <v>0.4</v>
      </c>
      <c r="C355">
        <v>2.64</v>
      </c>
      <c r="D355">
        <v>72.06</v>
      </c>
      <c r="E355">
        <v>24.68</v>
      </c>
      <c r="F355">
        <v>0.36953940000000002</v>
      </c>
      <c r="G355">
        <v>3.25</v>
      </c>
      <c r="H355">
        <v>3.7116463</v>
      </c>
      <c r="K355">
        <v>16.728215622677855</v>
      </c>
      <c r="L355">
        <v>13.714864784354617</v>
      </c>
      <c r="M355">
        <v>13.987820848640853</v>
      </c>
    </row>
    <row r="356" spans="1:13" x14ac:dyDescent="0.45">
      <c r="A356">
        <v>208.5</v>
      </c>
      <c r="B356">
        <v>20.6</v>
      </c>
      <c r="C356">
        <v>3.51</v>
      </c>
      <c r="D356">
        <v>33.630000000000003</v>
      </c>
      <c r="E356">
        <v>12.69</v>
      </c>
      <c r="F356">
        <v>3.8879359</v>
      </c>
      <c r="G356">
        <v>3.4</v>
      </c>
      <c r="H356">
        <v>4.0020885000000002</v>
      </c>
      <c r="K356">
        <v>195.18043626322606</v>
      </c>
      <c r="L356">
        <v>197.52981917346182</v>
      </c>
      <c r="M356">
        <v>196.25063695770544</v>
      </c>
    </row>
    <row r="357" spans="1:13" x14ac:dyDescent="0.45">
      <c r="A357">
        <v>20.3</v>
      </c>
      <c r="B357">
        <v>6.5</v>
      </c>
      <c r="C357">
        <v>2.78</v>
      </c>
      <c r="D357">
        <v>38.24</v>
      </c>
      <c r="E357">
        <v>8.75</v>
      </c>
      <c r="F357">
        <v>0</v>
      </c>
      <c r="G357">
        <v>1.0900000000000001</v>
      </c>
      <c r="H357">
        <v>1.5730644</v>
      </c>
      <c r="K357">
        <v>64.931498519197291</v>
      </c>
      <c r="L357">
        <v>60.331385626294072</v>
      </c>
      <c r="M357">
        <v>62.320887122962027</v>
      </c>
    </row>
    <row r="358" spans="1:13" x14ac:dyDescent="0.45">
      <c r="A358">
        <v>153.6</v>
      </c>
      <c r="B358">
        <v>11.8</v>
      </c>
      <c r="C358">
        <v>4.4800000000000004</v>
      </c>
      <c r="D358">
        <v>100.39</v>
      </c>
      <c r="E358">
        <v>22.36</v>
      </c>
      <c r="F358">
        <v>4.3284789999999997</v>
      </c>
      <c r="G358">
        <v>1318.7</v>
      </c>
      <c r="H358">
        <v>2.7574684999999999</v>
      </c>
      <c r="K358">
        <v>130.47697127152924</v>
      </c>
      <c r="L358">
        <v>125.0725978230226</v>
      </c>
      <c r="M358">
        <v>126.01007371865009</v>
      </c>
    </row>
    <row r="359" spans="1:13" x14ac:dyDescent="0.45">
      <c r="A359">
        <v>48</v>
      </c>
      <c r="B359">
        <v>5.3</v>
      </c>
      <c r="C359">
        <v>9.93</v>
      </c>
      <c r="D359">
        <v>92.44</v>
      </c>
      <c r="E359">
        <v>21.11</v>
      </c>
      <c r="F359">
        <v>2.9285640000000002</v>
      </c>
      <c r="G359">
        <v>2.12</v>
      </c>
      <c r="H359">
        <v>0.47499471999999998</v>
      </c>
      <c r="K359">
        <v>42.72831315055064</v>
      </c>
      <c r="L359">
        <v>44.527356202943999</v>
      </c>
      <c r="M359">
        <v>47.346405064835352</v>
      </c>
    </row>
    <row r="360" spans="1:13" x14ac:dyDescent="0.45">
      <c r="A360">
        <v>8.4</v>
      </c>
      <c r="B360">
        <v>1.6</v>
      </c>
      <c r="C360">
        <v>3.95</v>
      </c>
      <c r="D360">
        <v>74.34</v>
      </c>
      <c r="E360">
        <v>16.059999999999999</v>
      </c>
      <c r="F360">
        <v>3.6987760000000001</v>
      </c>
      <c r="G360">
        <v>1.65</v>
      </c>
      <c r="H360">
        <v>2.9931207</v>
      </c>
      <c r="K360">
        <v>17.228957438367441</v>
      </c>
      <c r="L360">
        <v>20.869412119827821</v>
      </c>
      <c r="M360">
        <v>21.632194714428717</v>
      </c>
    </row>
    <row r="361" spans="1:13" x14ac:dyDescent="0.45">
      <c r="A361">
        <v>30</v>
      </c>
      <c r="B361">
        <v>1.7</v>
      </c>
      <c r="C361">
        <v>-3.39</v>
      </c>
      <c r="D361">
        <v>169.16</v>
      </c>
      <c r="E361">
        <v>118.29</v>
      </c>
      <c r="F361">
        <v>0.18161179999999999</v>
      </c>
      <c r="G361">
        <v>2.76</v>
      </c>
      <c r="H361">
        <v>6.7890477000000002</v>
      </c>
      <c r="K361">
        <v>79.933962063076592</v>
      </c>
      <c r="L361">
        <v>78.306346271054537</v>
      </c>
      <c r="M361">
        <v>77.966219029792128</v>
      </c>
    </row>
    <row r="362" spans="1:13" x14ac:dyDescent="0.45">
      <c r="A362">
        <v>73.3</v>
      </c>
      <c r="B362">
        <v>0</v>
      </c>
      <c r="C362">
        <v>10.4</v>
      </c>
      <c r="D362">
        <v>149.38</v>
      </c>
      <c r="E362">
        <v>17.55</v>
      </c>
      <c r="F362">
        <v>1.9354838000000001</v>
      </c>
      <c r="G362">
        <v>1.53</v>
      </c>
      <c r="H362">
        <v>4.0465299999999997</v>
      </c>
      <c r="K362">
        <v>8.2444275500652573</v>
      </c>
      <c r="L362">
        <v>8.7006076380213724</v>
      </c>
      <c r="M362">
        <v>8.0224446723189615</v>
      </c>
    </row>
    <row r="363" spans="1:13" x14ac:dyDescent="0.45">
      <c r="A363">
        <v>8.8000000000000007</v>
      </c>
      <c r="B363">
        <v>0.5</v>
      </c>
      <c r="C363">
        <v>-1.19</v>
      </c>
      <c r="D363">
        <v>101.32</v>
      </c>
      <c r="E363">
        <v>17.739999999999998</v>
      </c>
      <c r="F363">
        <v>1.8570101999999999</v>
      </c>
      <c r="G363">
        <v>2.44</v>
      </c>
      <c r="H363">
        <v>1.3948758000000001</v>
      </c>
      <c r="K363">
        <v>26.759013665188924</v>
      </c>
      <c r="L363">
        <v>27.028023609636545</v>
      </c>
      <c r="M363">
        <v>30.638732881847766</v>
      </c>
    </row>
    <row r="364" spans="1:13" x14ac:dyDescent="0.45">
      <c r="A364">
        <v>29</v>
      </c>
      <c r="B364">
        <v>2.6</v>
      </c>
      <c r="C364">
        <v>6.31</v>
      </c>
      <c r="D364">
        <v>110.3</v>
      </c>
      <c r="E364">
        <v>18.73</v>
      </c>
      <c r="F364">
        <v>1.5771489000000001</v>
      </c>
      <c r="G364">
        <v>4.83</v>
      </c>
      <c r="H364">
        <v>1.9551050999999999</v>
      </c>
      <c r="K364">
        <v>33.033403679426613</v>
      </c>
      <c r="L364">
        <v>32.416302987224427</v>
      </c>
      <c r="M364">
        <v>34.307214365987733</v>
      </c>
    </row>
    <row r="365" spans="1:13" x14ac:dyDescent="0.45">
      <c r="A365">
        <v>20.8</v>
      </c>
      <c r="B365">
        <v>3.9</v>
      </c>
      <c r="C365">
        <v>2.79</v>
      </c>
      <c r="D365">
        <v>29.52</v>
      </c>
      <c r="E365">
        <v>12.83</v>
      </c>
      <c r="F365">
        <v>5.2196894</v>
      </c>
      <c r="G365">
        <v>1.95</v>
      </c>
      <c r="H365">
        <v>3.7497053</v>
      </c>
      <c r="K365">
        <v>29.750655391900271</v>
      </c>
      <c r="L365">
        <v>36.051460251464711</v>
      </c>
      <c r="M365">
        <v>35.642276728902168</v>
      </c>
    </row>
    <row r="366" spans="1:13" x14ac:dyDescent="0.45">
      <c r="A366">
        <v>42.9</v>
      </c>
      <c r="B366">
        <v>3.6</v>
      </c>
      <c r="C366">
        <v>4.32</v>
      </c>
      <c r="D366">
        <v>144.07</v>
      </c>
      <c r="E366">
        <v>24.63</v>
      </c>
      <c r="F366">
        <v>2.1998533999999998</v>
      </c>
      <c r="G366">
        <v>6.88</v>
      </c>
      <c r="H366">
        <v>3.887915</v>
      </c>
      <c r="K366">
        <v>56.627746166240534</v>
      </c>
      <c r="L366">
        <v>57.54385161484668</v>
      </c>
      <c r="M366">
        <v>57.88020497925578</v>
      </c>
    </row>
    <row r="367" spans="1:13" x14ac:dyDescent="0.45">
      <c r="A367">
        <v>91.8</v>
      </c>
      <c r="B367">
        <v>4.8</v>
      </c>
      <c r="C367">
        <v>42.66</v>
      </c>
      <c r="D367">
        <v>1806.06</v>
      </c>
      <c r="E367">
        <v>24.26</v>
      </c>
      <c r="F367">
        <v>0</v>
      </c>
      <c r="G367">
        <v>6.92</v>
      </c>
      <c r="H367">
        <v>9.1765640000000008</v>
      </c>
      <c r="K367">
        <v>360.83125414819472</v>
      </c>
      <c r="L367">
        <v>366.92961733850098</v>
      </c>
      <c r="M367">
        <v>369.65349682756437</v>
      </c>
    </row>
    <row r="368" spans="1:13" x14ac:dyDescent="0.45">
      <c r="A368">
        <v>18.5</v>
      </c>
      <c r="B368">
        <v>0</v>
      </c>
      <c r="C368">
        <v>4.5</v>
      </c>
      <c r="D368">
        <v>60.38</v>
      </c>
      <c r="E368">
        <v>11.96</v>
      </c>
      <c r="F368">
        <v>3.1914894999999999</v>
      </c>
      <c r="G368">
        <v>1.53</v>
      </c>
      <c r="H368">
        <v>1.7167546</v>
      </c>
      <c r="K368">
        <v>-3.6906686947019365</v>
      </c>
      <c r="L368">
        <v>-1.1279235953258626</v>
      </c>
      <c r="M368">
        <v>0.87163577940354608</v>
      </c>
    </row>
    <row r="369" spans="1:13" x14ac:dyDescent="0.45">
      <c r="A369">
        <v>206.3</v>
      </c>
      <c r="B369">
        <v>17.2</v>
      </c>
      <c r="C369">
        <v>5.6</v>
      </c>
      <c r="D369">
        <v>80.22</v>
      </c>
      <c r="E369">
        <v>20.46</v>
      </c>
      <c r="F369">
        <v>3.3704789000000002</v>
      </c>
      <c r="G369">
        <v>3.85</v>
      </c>
      <c r="H369">
        <v>3.1595004000000002</v>
      </c>
      <c r="K369">
        <v>168.49155105145249</v>
      </c>
      <c r="L369">
        <v>170.35546590348648</v>
      </c>
      <c r="M369">
        <v>170.31323810866323</v>
      </c>
    </row>
    <row r="370" spans="1:13" x14ac:dyDescent="0.45">
      <c r="A370">
        <v>31.1</v>
      </c>
      <c r="B370">
        <v>0</v>
      </c>
      <c r="C370">
        <v>2.73</v>
      </c>
      <c r="D370">
        <v>51.07</v>
      </c>
      <c r="E370">
        <v>20.76</v>
      </c>
      <c r="F370">
        <v>2.1061797000000002</v>
      </c>
      <c r="G370">
        <v>3.25</v>
      </c>
      <c r="H370">
        <v>1.1458876</v>
      </c>
      <c r="K370">
        <v>0.99022091874995566</v>
      </c>
      <c r="L370">
        <v>1.397818387851621</v>
      </c>
      <c r="M370">
        <v>4.3356730068800218</v>
      </c>
    </row>
    <row r="371" spans="1:13" x14ac:dyDescent="0.45">
      <c r="A371">
        <v>32</v>
      </c>
      <c r="B371">
        <v>3</v>
      </c>
      <c r="C371">
        <v>3.06</v>
      </c>
      <c r="D371">
        <v>58.33</v>
      </c>
      <c r="E371">
        <v>20.76</v>
      </c>
      <c r="F371">
        <v>2.9313790000000002</v>
      </c>
      <c r="G371">
        <v>2.11</v>
      </c>
      <c r="H371">
        <v>14.380373000000001</v>
      </c>
      <c r="K371">
        <v>44.398421393987476</v>
      </c>
      <c r="L371">
        <v>46.307430655277159</v>
      </c>
      <c r="M371">
        <v>34.24239759301652</v>
      </c>
    </row>
    <row r="372" spans="1:13" x14ac:dyDescent="0.45">
      <c r="A372">
        <v>47.1</v>
      </c>
      <c r="B372">
        <v>0</v>
      </c>
      <c r="C372">
        <v>9.73</v>
      </c>
      <c r="D372">
        <v>103.38</v>
      </c>
      <c r="E372">
        <v>9.99</v>
      </c>
      <c r="F372">
        <v>2.6985698</v>
      </c>
      <c r="G372">
        <v>0.93</v>
      </c>
      <c r="H372">
        <v>1.0837270000000001</v>
      </c>
      <c r="K372">
        <v>-6.2689349971695725</v>
      </c>
      <c r="L372">
        <v>-4.6014893856914174</v>
      </c>
      <c r="M372">
        <v>-2.3243270278835308</v>
      </c>
    </row>
    <row r="373" spans="1:13" x14ac:dyDescent="0.45">
      <c r="A373">
        <v>24.1</v>
      </c>
      <c r="B373">
        <v>3.6</v>
      </c>
      <c r="C373">
        <v>1.75</v>
      </c>
      <c r="D373">
        <v>46.73</v>
      </c>
      <c r="E373">
        <v>16.11</v>
      </c>
      <c r="F373">
        <v>3.6058699999999999</v>
      </c>
      <c r="G373">
        <v>1.88</v>
      </c>
      <c r="H373">
        <v>3.4491453000000001</v>
      </c>
      <c r="K373">
        <v>36.467047723617256</v>
      </c>
      <c r="L373">
        <v>39.650740412272235</v>
      </c>
      <c r="M373">
        <v>39.931036785704741</v>
      </c>
    </row>
    <row r="374" spans="1:13" x14ac:dyDescent="0.45">
      <c r="A374">
        <v>32.299999999999997</v>
      </c>
      <c r="B374">
        <v>1.9</v>
      </c>
      <c r="C374">
        <v>6.81</v>
      </c>
      <c r="D374">
        <v>180.49</v>
      </c>
      <c r="E374">
        <v>18.21</v>
      </c>
      <c r="F374">
        <v>4.3161589999999999</v>
      </c>
      <c r="G374">
        <v>6.56</v>
      </c>
      <c r="H374">
        <v>16.164169999999999</v>
      </c>
      <c r="K374">
        <v>51.099911732693236</v>
      </c>
      <c r="L374">
        <v>56.565451590840688</v>
      </c>
      <c r="M374">
        <v>42.969186924253407</v>
      </c>
    </row>
    <row r="375" spans="1:13" x14ac:dyDescent="0.45">
      <c r="A375">
        <v>8.8000000000000007</v>
      </c>
      <c r="B375">
        <v>1</v>
      </c>
      <c r="C375">
        <v>1.44</v>
      </c>
      <c r="D375">
        <v>28.67</v>
      </c>
      <c r="E375">
        <v>12.86</v>
      </c>
      <c r="F375">
        <v>1.2036108000000001</v>
      </c>
      <c r="G375">
        <v>1.99</v>
      </c>
      <c r="H375">
        <v>1.0341544</v>
      </c>
      <c r="K375">
        <v>9.5865960936693249</v>
      </c>
      <c r="L375">
        <v>7.8750336720344158</v>
      </c>
      <c r="M375">
        <v>10.810213259109959</v>
      </c>
    </row>
    <row r="376" spans="1:13" x14ac:dyDescent="0.45">
      <c r="A376">
        <v>11.5</v>
      </c>
      <c r="B376">
        <v>1.1000000000000001</v>
      </c>
      <c r="C376">
        <v>6.77</v>
      </c>
      <c r="D376">
        <v>142.68</v>
      </c>
      <c r="E376">
        <v>20.98</v>
      </c>
      <c r="F376">
        <v>0.100529455</v>
      </c>
      <c r="G376">
        <v>2.14</v>
      </c>
      <c r="H376">
        <v>1.7617522000000001</v>
      </c>
      <c r="K376">
        <v>27.601330927313914</v>
      </c>
      <c r="L376">
        <v>24.300937751793374</v>
      </c>
      <c r="M376">
        <v>26.690270130567932</v>
      </c>
    </row>
    <row r="377" spans="1:13" x14ac:dyDescent="0.45">
      <c r="A377">
        <v>9.9</v>
      </c>
      <c r="B377">
        <v>0.8</v>
      </c>
      <c r="C377">
        <v>-0.13</v>
      </c>
      <c r="D377">
        <v>76.849999999999994</v>
      </c>
      <c r="E377">
        <v>19.71</v>
      </c>
      <c r="F377">
        <v>0</v>
      </c>
      <c r="G377">
        <v>1.98</v>
      </c>
      <c r="H377">
        <v>3.3891420000000001</v>
      </c>
      <c r="K377">
        <v>28.021900182440493</v>
      </c>
      <c r="L377">
        <v>24.282190808945252</v>
      </c>
      <c r="M377">
        <v>25.29527601441572</v>
      </c>
    </row>
    <row r="378" spans="1:13" x14ac:dyDescent="0.45">
      <c r="A378">
        <v>96.3</v>
      </c>
      <c r="B378">
        <v>4.2</v>
      </c>
      <c r="C378">
        <v>1.65</v>
      </c>
      <c r="D378">
        <v>62.42</v>
      </c>
      <c r="E378">
        <v>16.510000000000002</v>
      </c>
      <c r="F378">
        <v>3.5055350999999999</v>
      </c>
      <c r="G378">
        <v>3.82</v>
      </c>
      <c r="H378">
        <v>4.2636580000000004</v>
      </c>
      <c r="K378">
        <v>47.262866006139177</v>
      </c>
      <c r="L378">
        <v>50.290871140271996</v>
      </c>
      <c r="M378">
        <v>49.787100705675677</v>
      </c>
    </row>
    <row r="379" spans="1:13" x14ac:dyDescent="0.45">
      <c r="A379">
        <v>5.3</v>
      </c>
      <c r="B379">
        <v>0.6</v>
      </c>
      <c r="C379">
        <v>1.28</v>
      </c>
      <c r="D379">
        <v>33.51</v>
      </c>
      <c r="E379">
        <v>17.54</v>
      </c>
      <c r="F379">
        <v>0</v>
      </c>
      <c r="G379">
        <v>1.43</v>
      </c>
      <c r="H379">
        <v>0.77893436000000005</v>
      </c>
      <c r="K379">
        <v>9.8577745623622519</v>
      </c>
      <c r="L379">
        <v>5.7938114263033444</v>
      </c>
      <c r="M379">
        <v>9.1527658078365466</v>
      </c>
    </row>
    <row r="380" spans="1:13" x14ac:dyDescent="0.45">
      <c r="A380">
        <v>13.6</v>
      </c>
      <c r="B380">
        <v>1.5</v>
      </c>
      <c r="C380">
        <v>5.5</v>
      </c>
      <c r="D380">
        <v>96.42</v>
      </c>
      <c r="E380">
        <v>17.07</v>
      </c>
      <c r="F380">
        <v>1.9884668999999999</v>
      </c>
      <c r="G380">
        <v>2.82</v>
      </c>
      <c r="H380">
        <v>1.7709883</v>
      </c>
      <c r="K380">
        <v>19.819004638159452</v>
      </c>
      <c r="L380">
        <v>20.055575706811577</v>
      </c>
      <c r="M380">
        <v>22.169427899401416</v>
      </c>
    </row>
    <row r="381" spans="1:13" x14ac:dyDescent="0.45">
      <c r="A381">
        <v>3.3</v>
      </c>
      <c r="B381">
        <v>0.8</v>
      </c>
      <c r="C381">
        <v>-2.79</v>
      </c>
      <c r="D381">
        <v>12.82</v>
      </c>
      <c r="E381">
        <v>35.61</v>
      </c>
      <c r="F381">
        <v>0.60975610000000002</v>
      </c>
      <c r="G381">
        <v>0.59</v>
      </c>
      <c r="H381">
        <v>1.9624339</v>
      </c>
      <c r="K381">
        <v>18.884452747387101</v>
      </c>
      <c r="L381">
        <v>16.247880663871538</v>
      </c>
      <c r="M381">
        <v>18.92229893104842</v>
      </c>
    </row>
    <row r="382" spans="1:13" x14ac:dyDescent="0.45">
      <c r="A382">
        <v>13.2</v>
      </c>
      <c r="B382">
        <v>0</v>
      </c>
      <c r="C382">
        <v>4.12</v>
      </c>
      <c r="D382">
        <v>86.06</v>
      </c>
      <c r="E382">
        <v>16.940000000000001</v>
      </c>
      <c r="F382">
        <v>1.0982976</v>
      </c>
      <c r="G382">
        <v>2.34</v>
      </c>
      <c r="H382">
        <v>1.9734555</v>
      </c>
      <c r="K382">
        <v>8.1218124926673632</v>
      </c>
      <c r="L382">
        <v>6.6085471806032405</v>
      </c>
      <c r="M382">
        <v>8.6553130527039492</v>
      </c>
    </row>
    <row r="383" spans="1:13" x14ac:dyDescent="0.45">
      <c r="A383">
        <v>59.1</v>
      </c>
      <c r="B383">
        <v>3.9</v>
      </c>
      <c r="C383">
        <v>6.95</v>
      </c>
      <c r="D383">
        <v>198.74</v>
      </c>
      <c r="E383">
        <v>25.78</v>
      </c>
      <c r="F383">
        <v>1.5612763999999999</v>
      </c>
      <c r="G383">
        <v>5.28</v>
      </c>
      <c r="H383">
        <v>2.2938328000000001</v>
      </c>
      <c r="K383">
        <v>65.257711593968224</v>
      </c>
      <c r="L383">
        <v>65.151276964002889</v>
      </c>
      <c r="M383">
        <v>67.363527083036516</v>
      </c>
    </row>
    <row r="384" spans="1:13" x14ac:dyDescent="0.45">
      <c r="A384">
        <v>13.8</v>
      </c>
      <c r="B384">
        <v>1.1000000000000001</v>
      </c>
      <c r="C384">
        <v>1.1200000000000001</v>
      </c>
      <c r="D384">
        <v>47.56</v>
      </c>
      <c r="E384">
        <v>15.54</v>
      </c>
      <c r="F384">
        <v>5.3720359999999996</v>
      </c>
      <c r="G384">
        <v>1.92</v>
      </c>
      <c r="H384">
        <v>15.588069000000001</v>
      </c>
      <c r="K384">
        <v>23.716852780614744</v>
      </c>
      <c r="L384">
        <v>30.706079680072943</v>
      </c>
      <c r="M384">
        <v>17.468104636539373</v>
      </c>
    </row>
    <row r="385" spans="1:13" x14ac:dyDescent="0.45">
      <c r="A385">
        <v>22.8</v>
      </c>
      <c r="B385">
        <v>0.5</v>
      </c>
      <c r="C385">
        <v>1.68</v>
      </c>
      <c r="D385">
        <v>124.65</v>
      </c>
      <c r="E385">
        <v>79.900000000000006</v>
      </c>
      <c r="F385">
        <v>0</v>
      </c>
      <c r="G385">
        <v>15.69</v>
      </c>
      <c r="H385">
        <v>8.2020769999999992</v>
      </c>
      <c r="K385">
        <v>44.003388690798118</v>
      </c>
      <c r="L385">
        <v>41.120022411045611</v>
      </c>
      <c r="M385">
        <v>37.610389420301225</v>
      </c>
    </row>
    <row r="386" spans="1:13" x14ac:dyDescent="0.45">
      <c r="A386">
        <v>9.9</v>
      </c>
      <c r="B386">
        <v>0.5</v>
      </c>
      <c r="C386">
        <v>1.43</v>
      </c>
      <c r="D386">
        <v>55.58</v>
      </c>
      <c r="E386">
        <v>15.27</v>
      </c>
      <c r="F386">
        <v>3.6850337999999998</v>
      </c>
      <c r="G386">
        <v>1.51</v>
      </c>
      <c r="H386">
        <v>13.762162</v>
      </c>
      <c r="K386">
        <v>20.294631465677607</v>
      </c>
      <c r="L386">
        <v>23.905109534116772</v>
      </c>
      <c r="M386">
        <v>12.763013914946733</v>
      </c>
    </row>
    <row r="387" spans="1:13" x14ac:dyDescent="0.45">
      <c r="A387">
        <v>36</v>
      </c>
      <c r="B387">
        <v>2</v>
      </c>
      <c r="C387">
        <v>7.74</v>
      </c>
      <c r="D387">
        <v>322.62</v>
      </c>
      <c r="E387">
        <v>27.93</v>
      </c>
      <c r="F387">
        <v>0</v>
      </c>
      <c r="G387">
        <v>5.89</v>
      </c>
      <c r="H387">
        <v>8.4854099999999999</v>
      </c>
      <c r="K387">
        <v>83.020952581869537</v>
      </c>
      <c r="L387">
        <v>80.637640862003664</v>
      </c>
      <c r="M387">
        <v>76.885650007160365</v>
      </c>
    </row>
    <row r="388" spans="1:13" x14ac:dyDescent="0.45">
      <c r="A388">
        <v>21.5</v>
      </c>
      <c r="B388">
        <v>0</v>
      </c>
      <c r="C388">
        <v>1</v>
      </c>
      <c r="D388">
        <v>17.899999999999999</v>
      </c>
      <c r="E388">
        <v>17.899999999999999</v>
      </c>
      <c r="F388">
        <v>1.8987342</v>
      </c>
      <c r="G388">
        <v>1.32</v>
      </c>
      <c r="H388">
        <v>3.4747710000000001</v>
      </c>
      <c r="K388">
        <v>0.33903763128150649</v>
      </c>
      <c r="L388">
        <v>0.12863422982648487</v>
      </c>
      <c r="M388">
        <v>0.37991404593854394</v>
      </c>
    </row>
    <row r="389" spans="1:13" x14ac:dyDescent="0.45">
      <c r="A389">
        <v>21.6</v>
      </c>
      <c r="B389">
        <v>2.7</v>
      </c>
      <c r="C389">
        <v>1.77</v>
      </c>
      <c r="D389">
        <v>62.72</v>
      </c>
      <c r="E389">
        <v>26.13</v>
      </c>
      <c r="F389">
        <v>2.1362228000000001</v>
      </c>
      <c r="G389">
        <v>2.83</v>
      </c>
      <c r="H389">
        <v>2.8841185999999999</v>
      </c>
      <c r="K389">
        <v>34.748355627259542</v>
      </c>
      <c r="L389">
        <v>35.186625918165944</v>
      </c>
      <c r="M389">
        <v>36.390437488325524</v>
      </c>
    </row>
    <row r="390" spans="1:13" x14ac:dyDescent="0.45">
      <c r="A390">
        <v>13.2</v>
      </c>
      <c r="B390">
        <v>0.6</v>
      </c>
      <c r="C390">
        <v>2.41</v>
      </c>
      <c r="D390">
        <v>89.26</v>
      </c>
      <c r="E390">
        <v>31.54</v>
      </c>
      <c r="F390">
        <v>1.5120423000000001</v>
      </c>
      <c r="G390">
        <v>6.61</v>
      </c>
      <c r="H390">
        <v>6.1640686999999996</v>
      </c>
      <c r="K390">
        <v>24.306124618901805</v>
      </c>
      <c r="L390">
        <v>23.795146557133631</v>
      </c>
      <c r="M390">
        <v>21.562854080685263</v>
      </c>
    </row>
    <row r="391" spans="1:13" x14ac:dyDescent="0.45">
      <c r="A391">
        <v>7</v>
      </c>
      <c r="B391">
        <v>0.6</v>
      </c>
      <c r="C391">
        <v>2.3199999999999998</v>
      </c>
      <c r="D391">
        <v>52.26</v>
      </c>
      <c r="E391">
        <v>20.18</v>
      </c>
      <c r="F391">
        <v>1.7075773000000001</v>
      </c>
      <c r="G391">
        <v>5.98</v>
      </c>
      <c r="H391">
        <v>1.3330401999999999</v>
      </c>
      <c r="K391">
        <v>9.0660293060105488</v>
      </c>
      <c r="L391">
        <v>8.6024572821058261</v>
      </c>
      <c r="M391">
        <v>11.374463389263848</v>
      </c>
    </row>
    <row r="392" spans="1:13" x14ac:dyDescent="0.45">
      <c r="A392">
        <v>24.1</v>
      </c>
      <c r="B392">
        <v>1.3</v>
      </c>
      <c r="C392">
        <v>6.35</v>
      </c>
      <c r="D392">
        <v>178.73</v>
      </c>
      <c r="E392">
        <v>26.48</v>
      </c>
      <c r="F392">
        <v>1.7692551999999999</v>
      </c>
      <c r="G392">
        <v>10.94</v>
      </c>
      <c r="H392">
        <v>3.7605940000000002</v>
      </c>
      <c r="K392">
        <v>38.133410439766749</v>
      </c>
      <c r="L392">
        <v>38.491166601985093</v>
      </c>
      <c r="M392">
        <v>39.057427747003985</v>
      </c>
    </row>
    <row r="393" spans="1:13" x14ac:dyDescent="0.45">
      <c r="A393">
        <v>22.2</v>
      </c>
      <c r="B393">
        <v>1.7</v>
      </c>
      <c r="C393">
        <v>4.8</v>
      </c>
      <c r="D393">
        <v>133.31</v>
      </c>
      <c r="E393">
        <v>22.29</v>
      </c>
      <c r="F393">
        <v>0.97488920000000001</v>
      </c>
      <c r="G393">
        <v>3.46</v>
      </c>
      <c r="H393">
        <v>3.7812730000000001</v>
      </c>
      <c r="K393">
        <v>36.632179752537404</v>
      </c>
      <c r="L393">
        <v>35.08154849950246</v>
      </c>
      <c r="M393">
        <v>35.404536824049273</v>
      </c>
    </row>
    <row r="394" spans="1:13" x14ac:dyDescent="0.45">
      <c r="A394">
        <v>27.2</v>
      </c>
      <c r="B394">
        <v>1.6</v>
      </c>
      <c r="C394">
        <v>9.3800000000000008</v>
      </c>
      <c r="D394">
        <v>259.39999999999998</v>
      </c>
      <c r="E394">
        <v>27.57</v>
      </c>
      <c r="F394">
        <v>0.61985796999999998</v>
      </c>
      <c r="G394">
        <v>4.2300000000000004</v>
      </c>
      <c r="H394">
        <v>5.9715904999999996</v>
      </c>
      <c r="K394">
        <v>56.947618125878861</v>
      </c>
      <c r="L394">
        <v>55.42136664007112</v>
      </c>
      <c r="M394">
        <v>53.732990282555257</v>
      </c>
    </row>
    <row r="395" spans="1:13" x14ac:dyDescent="0.45">
      <c r="A395">
        <v>29.8</v>
      </c>
      <c r="B395">
        <v>2.2000000000000002</v>
      </c>
      <c r="C395">
        <v>2.83</v>
      </c>
      <c r="D395">
        <v>75.06</v>
      </c>
      <c r="E395">
        <v>26.52</v>
      </c>
      <c r="F395">
        <v>0.82061803</v>
      </c>
      <c r="G395">
        <v>10.28</v>
      </c>
      <c r="H395">
        <v>2.9734495000000001</v>
      </c>
      <c r="K395">
        <v>33.044759548303965</v>
      </c>
      <c r="L395">
        <v>30.813259138810057</v>
      </c>
      <c r="M395">
        <v>31.883904275480681</v>
      </c>
    </row>
    <row r="396" spans="1:13" x14ac:dyDescent="0.45">
      <c r="A396">
        <v>27.4</v>
      </c>
      <c r="B396">
        <v>2.9</v>
      </c>
      <c r="C396">
        <v>7.53</v>
      </c>
      <c r="D396">
        <v>122.45</v>
      </c>
      <c r="E396">
        <v>16.260000000000002</v>
      </c>
      <c r="F396">
        <v>1.8674135999999999</v>
      </c>
      <c r="G396">
        <v>2.56</v>
      </c>
      <c r="H396">
        <v>3.1026611000000002</v>
      </c>
      <c r="K396">
        <v>36.220203569962642</v>
      </c>
      <c r="L396">
        <v>36.210416180478006</v>
      </c>
      <c r="M396">
        <v>36.688976223256837</v>
      </c>
    </row>
    <row r="397" spans="1:13" x14ac:dyDescent="0.45">
      <c r="A397">
        <v>46.6</v>
      </c>
      <c r="B397">
        <v>3</v>
      </c>
      <c r="C397">
        <v>7.95</v>
      </c>
      <c r="D397">
        <v>173.31</v>
      </c>
      <c r="E397">
        <v>27.38</v>
      </c>
      <c r="F397">
        <v>1.0947506</v>
      </c>
      <c r="G397">
        <v>50.56</v>
      </c>
      <c r="H397">
        <v>10.254704</v>
      </c>
      <c r="K397">
        <v>58.899881412152332</v>
      </c>
      <c r="L397">
        <v>57.369225535306867</v>
      </c>
      <c r="M397">
        <v>50.288631382631664</v>
      </c>
    </row>
    <row r="398" spans="1:13" x14ac:dyDescent="0.45">
      <c r="A398">
        <v>79.5</v>
      </c>
      <c r="B398">
        <v>0.9</v>
      </c>
      <c r="C398">
        <v>0.27</v>
      </c>
      <c r="D398">
        <v>104.03</v>
      </c>
      <c r="E398">
        <v>520.15</v>
      </c>
      <c r="F398">
        <v>0</v>
      </c>
      <c r="G398">
        <v>8.81</v>
      </c>
      <c r="H398">
        <v>10.3738785</v>
      </c>
      <c r="K398">
        <v>99.638059022702137</v>
      </c>
      <c r="L398">
        <v>101.68109746684479</v>
      </c>
      <c r="M398">
        <v>101.29474531974202</v>
      </c>
    </row>
    <row r="399" spans="1:13" x14ac:dyDescent="0.45">
      <c r="A399">
        <v>19.600000000000001</v>
      </c>
      <c r="B399">
        <v>1.1000000000000001</v>
      </c>
      <c r="C399">
        <v>0.62</v>
      </c>
      <c r="D399">
        <v>159.85</v>
      </c>
      <c r="E399">
        <v>199.81</v>
      </c>
      <c r="F399">
        <v>0</v>
      </c>
      <c r="G399">
        <v>91.04</v>
      </c>
      <c r="H399">
        <v>15.189207</v>
      </c>
      <c r="K399">
        <v>82.47628183933071</v>
      </c>
      <c r="L399">
        <v>80.596518351500805</v>
      </c>
      <c r="M399">
        <v>71.156683109983888</v>
      </c>
    </row>
    <row r="400" spans="1:13" x14ac:dyDescent="0.45">
      <c r="A400">
        <v>5.2</v>
      </c>
      <c r="B400">
        <v>1.5</v>
      </c>
      <c r="C400">
        <v>4.16</v>
      </c>
      <c r="D400">
        <v>35.6</v>
      </c>
      <c r="E400">
        <v>8.75</v>
      </c>
      <c r="F400">
        <v>6.6830334999999996</v>
      </c>
      <c r="G400">
        <v>0.92</v>
      </c>
      <c r="H400">
        <v>1.651705</v>
      </c>
      <c r="K400">
        <v>-1.4099605998946798</v>
      </c>
      <c r="L400">
        <v>8.0405700205069977</v>
      </c>
      <c r="M400">
        <v>9.8675692638170815</v>
      </c>
    </row>
    <row r="401" spans="1:13" x14ac:dyDescent="0.45">
      <c r="A401">
        <v>96.5</v>
      </c>
      <c r="B401">
        <v>3.2</v>
      </c>
      <c r="C401">
        <v>-1.08</v>
      </c>
      <c r="D401">
        <v>67.400000000000006</v>
      </c>
      <c r="E401">
        <v>44.93</v>
      </c>
      <c r="F401">
        <v>2.8673834999999999</v>
      </c>
      <c r="G401">
        <v>2.64</v>
      </c>
      <c r="H401">
        <v>3.2297828000000002</v>
      </c>
      <c r="K401">
        <v>48.415040647953788</v>
      </c>
      <c r="L401">
        <v>50.645732582540283</v>
      </c>
      <c r="M401">
        <v>52.1437586676644</v>
      </c>
    </row>
    <row r="402" spans="1:13" x14ac:dyDescent="0.45">
      <c r="A402">
        <v>11.3</v>
      </c>
      <c r="B402">
        <v>1.4</v>
      </c>
      <c r="C402">
        <v>5.18</v>
      </c>
      <c r="D402">
        <v>86.46</v>
      </c>
      <c r="E402">
        <v>16.04</v>
      </c>
      <c r="F402">
        <v>1.3761467999999999</v>
      </c>
      <c r="G402">
        <v>4.22</v>
      </c>
      <c r="H402">
        <v>4.3740790000000001</v>
      </c>
      <c r="K402">
        <v>21.455125318894918</v>
      </c>
      <c r="L402">
        <v>20.356154226975196</v>
      </c>
      <c r="M402">
        <v>19.487864155622365</v>
      </c>
    </row>
    <row r="403" spans="1:13" x14ac:dyDescent="0.45">
      <c r="A403">
        <v>14.1</v>
      </c>
      <c r="B403">
        <v>1.8</v>
      </c>
      <c r="C403">
        <v>2.58</v>
      </c>
      <c r="D403">
        <v>47.44</v>
      </c>
      <c r="E403">
        <v>11.51</v>
      </c>
      <c r="F403">
        <v>5.0857720000000004</v>
      </c>
      <c r="G403">
        <v>13.33</v>
      </c>
      <c r="H403">
        <v>1.3048557999999999</v>
      </c>
      <c r="K403">
        <v>11.181208690278746</v>
      </c>
      <c r="L403">
        <v>17.386321508995934</v>
      </c>
      <c r="M403">
        <v>19.964653655151416</v>
      </c>
    </row>
    <row r="404" spans="1:13" x14ac:dyDescent="0.45">
      <c r="A404">
        <v>8</v>
      </c>
      <c r="B404">
        <v>1</v>
      </c>
      <c r="C404">
        <v>2.46</v>
      </c>
      <c r="D404">
        <v>42.62</v>
      </c>
      <c r="E404">
        <v>21.31</v>
      </c>
      <c r="F404">
        <v>1.4427411999999999</v>
      </c>
      <c r="G404">
        <v>10.55</v>
      </c>
      <c r="H404">
        <v>2.4700066999999999</v>
      </c>
      <c r="K404">
        <v>12.48158929231475</v>
      </c>
      <c r="L404">
        <v>11.353946753356901</v>
      </c>
      <c r="M404">
        <v>12.743449707179577</v>
      </c>
    </row>
    <row r="405" spans="1:13" x14ac:dyDescent="0.45">
      <c r="A405">
        <v>26.2</v>
      </c>
      <c r="B405">
        <v>3.8</v>
      </c>
      <c r="C405">
        <v>5.45</v>
      </c>
      <c r="D405">
        <v>103.36</v>
      </c>
      <c r="E405">
        <v>19.14</v>
      </c>
      <c r="F405">
        <v>3.1607262999999999</v>
      </c>
      <c r="G405">
        <v>1.98</v>
      </c>
      <c r="H405">
        <v>3.1530300000000002</v>
      </c>
      <c r="K405">
        <v>43.345539489877169</v>
      </c>
      <c r="L405">
        <v>45.900757253577659</v>
      </c>
      <c r="M405">
        <v>46.478013912378152</v>
      </c>
    </row>
    <row r="406" spans="1:13" x14ac:dyDescent="0.45">
      <c r="A406">
        <v>37.700000000000003</v>
      </c>
      <c r="B406">
        <v>2.2000000000000002</v>
      </c>
      <c r="C406">
        <v>18.61</v>
      </c>
      <c r="D406">
        <v>387.65</v>
      </c>
      <c r="E406">
        <v>26.75</v>
      </c>
      <c r="F406">
        <v>0.8426688</v>
      </c>
      <c r="G406">
        <v>13.42</v>
      </c>
      <c r="H406">
        <v>2.5276076999999999</v>
      </c>
      <c r="K406">
        <v>65.485954644459099</v>
      </c>
      <c r="L406">
        <v>64.884654055398286</v>
      </c>
      <c r="M406">
        <v>66.768625090919144</v>
      </c>
    </row>
    <row r="407" spans="1:13" x14ac:dyDescent="0.45">
      <c r="A407">
        <v>3</v>
      </c>
      <c r="B407">
        <v>0.9</v>
      </c>
      <c r="C407">
        <v>7.03</v>
      </c>
      <c r="D407">
        <v>49.38</v>
      </c>
      <c r="E407">
        <v>6.65</v>
      </c>
      <c r="F407">
        <v>2.4730753999999999</v>
      </c>
      <c r="G407">
        <v>1.38</v>
      </c>
      <c r="H407">
        <v>0.75646990000000003</v>
      </c>
      <c r="K407">
        <v>-3.5128875408695746</v>
      </c>
      <c r="L407">
        <v>-2.6928479367950811</v>
      </c>
      <c r="M407">
        <v>-0.17335237200188991</v>
      </c>
    </row>
    <row r="408" spans="1:13" x14ac:dyDescent="0.45">
      <c r="A408">
        <v>48.1</v>
      </c>
      <c r="B408">
        <v>4.4000000000000004</v>
      </c>
      <c r="C408">
        <v>6.25</v>
      </c>
      <c r="D408">
        <v>152.18</v>
      </c>
      <c r="E408">
        <v>13.56</v>
      </c>
      <c r="F408">
        <v>5.0368075000000001</v>
      </c>
      <c r="G408">
        <v>13.24</v>
      </c>
      <c r="H408">
        <v>8.7544950000000004</v>
      </c>
      <c r="K408">
        <v>60.169097401519238</v>
      </c>
      <c r="L408">
        <v>66.678159098986612</v>
      </c>
      <c r="M408">
        <v>61.145244431674357</v>
      </c>
    </row>
    <row r="409" spans="1:13" x14ac:dyDescent="0.45">
      <c r="A409">
        <v>18.5</v>
      </c>
      <c r="B409">
        <v>1.1000000000000001</v>
      </c>
      <c r="C409">
        <v>5.41</v>
      </c>
      <c r="D409">
        <v>99.04</v>
      </c>
      <c r="E409">
        <v>16.45</v>
      </c>
      <c r="F409">
        <v>1.2629501999999999</v>
      </c>
      <c r="G409">
        <v>4.25</v>
      </c>
      <c r="H409">
        <v>6.9704436999999997</v>
      </c>
      <c r="K409">
        <v>24.012630007429902</v>
      </c>
      <c r="L409">
        <v>22.777836831542977</v>
      </c>
      <c r="M409">
        <v>19.068637119482233</v>
      </c>
    </row>
    <row r="410" spans="1:13" x14ac:dyDescent="0.45">
      <c r="A410">
        <v>8.6</v>
      </c>
      <c r="B410">
        <v>0.8</v>
      </c>
      <c r="C410">
        <v>0.88</v>
      </c>
      <c r="D410">
        <v>90.61</v>
      </c>
      <c r="E410">
        <v>14.07</v>
      </c>
      <c r="F410">
        <v>3.4998922000000001</v>
      </c>
      <c r="G410">
        <v>1.32</v>
      </c>
      <c r="H410">
        <v>6.5820084000000003</v>
      </c>
      <c r="K410">
        <v>24.48720452610824</v>
      </c>
      <c r="L410">
        <v>27.941753495437936</v>
      </c>
      <c r="M410">
        <v>25.250156140847231</v>
      </c>
    </row>
    <row r="411" spans="1:13" x14ac:dyDescent="0.45">
      <c r="A411">
        <v>9.5</v>
      </c>
      <c r="B411">
        <v>1</v>
      </c>
      <c r="C411">
        <v>9.1999999999999993</v>
      </c>
      <c r="D411">
        <v>156.72</v>
      </c>
      <c r="E411">
        <v>15.81</v>
      </c>
      <c r="F411">
        <v>1.9684330000000001</v>
      </c>
      <c r="G411">
        <v>3.21</v>
      </c>
      <c r="H411">
        <v>3.5114812999999998</v>
      </c>
      <c r="K411">
        <v>21.613987662484828</v>
      </c>
      <c r="L411">
        <v>22.116066871722538</v>
      </c>
      <c r="M411">
        <v>22.228803411892475</v>
      </c>
    </row>
    <row r="412" spans="1:13" x14ac:dyDescent="0.45">
      <c r="A412">
        <v>43.5</v>
      </c>
      <c r="B412">
        <v>6</v>
      </c>
      <c r="C412">
        <v>2.5299999999999998</v>
      </c>
      <c r="D412">
        <v>43.4</v>
      </c>
      <c r="E412">
        <v>15.78</v>
      </c>
      <c r="F412">
        <v>5.3530226000000001</v>
      </c>
      <c r="G412">
        <v>1.82</v>
      </c>
      <c r="H412">
        <v>2.5080602000000001</v>
      </c>
      <c r="K412">
        <v>52.648341813497964</v>
      </c>
      <c r="L412">
        <v>59.206724471550594</v>
      </c>
      <c r="M412">
        <v>60.326631933446109</v>
      </c>
    </row>
    <row r="413" spans="1:13" x14ac:dyDescent="0.45">
      <c r="A413">
        <v>34.4</v>
      </c>
      <c r="B413">
        <v>4.5</v>
      </c>
      <c r="C413">
        <v>5.82</v>
      </c>
      <c r="D413">
        <v>55.63</v>
      </c>
      <c r="E413">
        <v>15.89</v>
      </c>
      <c r="F413">
        <v>0.863707</v>
      </c>
      <c r="G413">
        <v>3.84</v>
      </c>
      <c r="H413">
        <v>1.6294896999999999</v>
      </c>
      <c r="K413">
        <v>41.278182467043628</v>
      </c>
      <c r="L413">
        <v>38.688101631109056</v>
      </c>
      <c r="M413">
        <v>40.461732767241799</v>
      </c>
    </row>
    <row r="414" spans="1:13" x14ac:dyDescent="0.45">
      <c r="A414">
        <v>24.5</v>
      </c>
      <c r="B414">
        <v>2.2999999999999998</v>
      </c>
      <c r="C414">
        <v>8.0500000000000007</v>
      </c>
      <c r="D414">
        <v>152.86000000000001</v>
      </c>
      <c r="E414">
        <v>20.57</v>
      </c>
      <c r="F414">
        <v>1.5775634999999999</v>
      </c>
      <c r="G414">
        <v>3.34</v>
      </c>
      <c r="H414">
        <v>1.9443250000000001</v>
      </c>
      <c r="K414">
        <v>35.7327177516012</v>
      </c>
      <c r="L414">
        <v>35.400131566673608</v>
      </c>
      <c r="M414">
        <v>37.438059590978014</v>
      </c>
    </row>
    <row r="415" spans="1:13" x14ac:dyDescent="0.45">
      <c r="A415">
        <v>76.5</v>
      </c>
      <c r="B415">
        <v>7.4</v>
      </c>
      <c r="C415">
        <v>1.97</v>
      </c>
      <c r="D415">
        <v>53.77</v>
      </c>
      <c r="E415">
        <v>25.98</v>
      </c>
      <c r="F415">
        <v>2.203452</v>
      </c>
      <c r="G415">
        <v>13.36</v>
      </c>
      <c r="H415">
        <v>3.4392442999999999</v>
      </c>
      <c r="K415">
        <v>78.751216360188025</v>
      </c>
      <c r="L415">
        <v>78.842643511975922</v>
      </c>
      <c r="M415">
        <v>79.169110780962924</v>
      </c>
    </row>
    <row r="416" spans="1:13" x14ac:dyDescent="0.45">
      <c r="A416">
        <v>38.1</v>
      </c>
      <c r="B416">
        <v>0</v>
      </c>
      <c r="C416">
        <v>5.23</v>
      </c>
      <c r="D416">
        <v>98.54</v>
      </c>
      <c r="E416">
        <v>15.35</v>
      </c>
      <c r="F416">
        <v>1.6228749</v>
      </c>
      <c r="G416">
        <v>1.95</v>
      </c>
      <c r="H416">
        <v>3.2630720000000002</v>
      </c>
      <c r="K416">
        <v>8.5029688492647768</v>
      </c>
      <c r="L416">
        <v>8.10150555501599</v>
      </c>
      <c r="M416">
        <v>8.6151236368815169</v>
      </c>
    </row>
    <row r="417" spans="1:13" x14ac:dyDescent="0.45">
      <c r="A417">
        <v>6.2</v>
      </c>
      <c r="B417">
        <v>0.3</v>
      </c>
      <c r="C417">
        <v>2.08</v>
      </c>
      <c r="D417">
        <v>70.55</v>
      </c>
      <c r="E417">
        <v>16.260000000000002</v>
      </c>
      <c r="F417">
        <v>0</v>
      </c>
      <c r="G417">
        <v>2.15</v>
      </c>
      <c r="H417">
        <v>2.2607324000000002</v>
      </c>
      <c r="K417">
        <v>14.871428027364608</v>
      </c>
      <c r="L417">
        <v>11.026439172651292</v>
      </c>
      <c r="M417">
        <v>12.902656012383282</v>
      </c>
    </row>
    <row r="418" spans="1:13" x14ac:dyDescent="0.45">
      <c r="A418">
        <v>57.5</v>
      </c>
      <c r="B418">
        <v>2.9</v>
      </c>
      <c r="C418">
        <v>2.68</v>
      </c>
      <c r="D418">
        <v>148.01</v>
      </c>
      <c r="E418">
        <v>23.46</v>
      </c>
      <c r="F418">
        <v>1.2234008000000001</v>
      </c>
      <c r="G418">
        <v>5.54</v>
      </c>
      <c r="H418">
        <v>4.6355659999999999</v>
      </c>
      <c r="K418">
        <v>57.225264420263329</v>
      </c>
      <c r="L418">
        <v>56.250732937375645</v>
      </c>
      <c r="M418">
        <v>56.027307595940016</v>
      </c>
    </row>
    <row r="419" spans="1:13" x14ac:dyDescent="0.45">
      <c r="A419">
        <v>32.5</v>
      </c>
      <c r="B419">
        <v>0</v>
      </c>
      <c r="C419">
        <v>4.4800000000000004</v>
      </c>
      <c r="D419">
        <v>65.8</v>
      </c>
      <c r="E419">
        <v>16.25</v>
      </c>
      <c r="F419">
        <v>2.3185045999999998</v>
      </c>
      <c r="G419">
        <v>1.38</v>
      </c>
      <c r="H419">
        <v>3.3089445</v>
      </c>
      <c r="K419">
        <v>1.6554161258264999</v>
      </c>
      <c r="L419">
        <v>2.5056141715376037</v>
      </c>
      <c r="M419">
        <v>2.8127421878360881</v>
      </c>
    </row>
    <row r="420" spans="1:13" x14ac:dyDescent="0.45">
      <c r="A420">
        <v>16.5</v>
      </c>
      <c r="B420">
        <v>1.2</v>
      </c>
      <c r="C420">
        <v>-0.17</v>
      </c>
      <c r="D420">
        <v>25.59</v>
      </c>
      <c r="E420">
        <v>39.369999999999997</v>
      </c>
      <c r="F420">
        <v>1.1286681999999999</v>
      </c>
      <c r="G420">
        <v>3.36</v>
      </c>
      <c r="H420">
        <v>3.5516492999999998</v>
      </c>
      <c r="K420">
        <v>20.685467891507873</v>
      </c>
      <c r="L420">
        <v>19.116412700765558</v>
      </c>
      <c r="M420">
        <v>19.753556249342488</v>
      </c>
    </row>
    <row r="421" spans="1:13" x14ac:dyDescent="0.45">
      <c r="A421">
        <v>28.9</v>
      </c>
      <c r="B421">
        <v>0</v>
      </c>
      <c r="C421">
        <v>2.41</v>
      </c>
      <c r="D421">
        <v>34.979999999999997</v>
      </c>
      <c r="E421">
        <v>13.35</v>
      </c>
      <c r="F421">
        <v>1.6</v>
      </c>
      <c r="G421">
        <v>1.97</v>
      </c>
      <c r="H421">
        <v>2.1096623000000001</v>
      </c>
      <c r="K421">
        <v>-0.59223442001186477</v>
      </c>
      <c r="L421">
        <v>-1.3985664002735387</v>
      </c>
      <c r="M421">
        <v>0.2702577755894533</v>
      </c>
    </row>
    <row r="422" spans="1:13" x14ac:dyDescent="0.45">
      <c r="A422">
        <v>12.8</v>
      </c>
      <c r="B422">
        <v>0.6</v>
      </c>
      <c r="C422">
        <v>0.87</v>
      </c>
      <c r="D422">
        <v>82.62</v>
      </c>
      <c r="E422">
        <v>67.72</v>
      </c>
      <c r="F422">
        <v>0</v>
      </c>
      <c r="G422">
        <v>3.98</v>
      </c>
      <c r="H422">
        <v>6.2762640000000003</v>
      </c>
      <c r="K422">
        <v>33.810572746757501</v>
      </c>
      <c r="L422">
        <v>30.620205632335761</v>
      </c>
      <c r="M422">
        <v>28.889648051818295</v>
      </c>
    </row>
    <row r="423" spans="1:13" x14ac:dyDescent="0.45">
      <c r="A423">
        <v>30.4</v>
      </c>
      <c r="B423">
        <v>3</v>
      </c>
      <c r="C423">
        <v>2.08</v>
      </c>
      <c r="D423">
        <v>57</v>
      </c>
      <c r="E423">
        <v>22.98</v>
      </c>
      <c r="F423">
        <v>2.4644873</v>
      </c>
      <c r="G423">
        <v>13.4</v>
      </c>
      <c r="H423">
        <v>0.72955349999999997</v>
      </c>
      <c r="K423">
        <v>32.280072215608477</v>
      </c>
      <c r="L423">
        <v>33.215143613178867</v>
      </c>
      <c r="M423">
        <v>36.705165006757888</v>
      </c>
    </row>
    <row r="424" spans="1:13" x14ac:dyDescent="0.45">
      <c r="A424">
        <v>25.8</v>
      </c>
      <c r="B424">
        <v>2.2999999999999998</v>
      </c>
      <c r="C424">
        <v>4.75</v>
      </c>
      <c r="D424">
        <v>101.99</v>
      </c>
      <c r="E424">
        <v>19.920000000000002</v>
      </c>
      <c r="F424">
        <v>2.1404429999999999</v>
      </c>
      <c r="G424">
        <v>4.6100000000000003</v>
      </c>
      <c r="H424">
        <v>7.3911157000000003</v>
      </c>
      <c r="K424">
        <v>37.019075231634737</v>
      </c>
      <c r="L424">
        <v>37.575959179463467</v>
      </c>
      <c r="M424">
        <v>33.522246712565924</v>
      </c>
    </row>
    <row r="425" spans="1:13" x14ac:dyDescent="0.45">
      <c r="A425">
        <v>39.799999999999997</v>
      </c>
      <c r="B425">
        <v>7.1</v>
      </c>
      <c r="C425">
        <v>4.71</v>
      </c>
      <c r="D425">
        <v>71.11</v>
      </c>
      <c r="E425">
        <v>14.19</v>
      </c>
      <c r="F425">
        <v>3.3856654000000002</v>
      </c>
      <c r="G425">
        <v>3.45</v>
      </c>
      <c r="H425">
        <v>0.80473939999999999</v>
      </c>
      <c r="K425">
        <v>66.435500150304534</v>
      </c>
      <c r="L425">
        <v>68.96184592763953</v>
      </c>
      <c r="M425">
        <v>71.860138130907714</v>
      </c>
    </row>
    <row r="426" spans="1:13" x14ac:dyDescent="0.45">
      <c r="A426">
        <v>35</v>
      </c>
      <c r="B426">
        <v>2.8</v>
      </c>
      <c r="C426">
        <v>4.71</v>
      </c>
      <c r="D426">
        <v>95.27</v>
      </c>
      <c r="E426">
        <v>19.72</v>
      </c>
      <c r="F426">
        <v>1.6062645</v>
      </c>
      <c r="G426">
        <v>3.6</v>
      </c>
      <c r="H426">
        <v>2.5734365000000001</v>
      </c>
      <c r="K426">
        <v>36.120691107271952</v>
      </c>
      <c r="L426">
        <v>35.514639089327908</v>
      </c>
      <c r="M426">
        <v>36.824625835637008</v>
      </c>
    </row>
    <row r="427" spans="1:13" x14ac:dyDescent="0.45">
      <c r="A427">
        <v>14.2</v>
      </c>
      <c r="B427">
        <v>0.5</v>
      </c>
      <c r="C427">
        <v>0</v>
      </c>
      <c r="D427">
        <v>29.1</v>
      </c>
      <c r="E427">
        <v>18.77</v>
      </c>
      <c r="F427">
        <v>1.7060367000000001</v>
      </c>
      <c r="G427">
        <v>1.06</v>
      </c>
      <c r="H427">
        <v>1.5615749999999999</v>
      </c>
      <c r="K427">
        <v>8.4106876157413275</v>
      </c>
      <c r="L427">
        <v>7.8847418302546401</v>
      </c>
      <c r="M427">
        <v>10.532213539429961</v>
      </c>
    </row>
    <row r="428" spans="1:13" x14ac:dyDescent="0.45">
      <c r="A428">
        <v>100.3</v>
      </c>
      <c r="B428">
        <v>7</v>
      </c>
      <c r="C428">
        <v>3.6</v>
      </c>
      <c r="D428">
        <v>97.66</v>
      </c>
      <c r="E428">
        <v>24.05</v>
      </c>
      <c r="F428">
        <v>2.4318495000000002</v>
      </c>
      <c r="G428">
        <v>9.32</v>
      </c>
      <c r="H428">
        <v>6.9572234000000002</v>
      </c>
      <c r="K428">
        <v>84.093643527286787</v>
      </c>
      <c r="L428">
        <v>84.926778206776532</v>
      </c>
      <c r="M428">
        <v>81.404263845872265</v>
      </c>
    </row>
    <row r="429" spans="1:13" x14ac:dyDescent="0.45">
      <c r="A429">
        <v>15.3</v>
      </c>
      <c r="B429">
        <v>1.5</v>
      </c>
      <c r="C429">
        <v>1.1399999999999999</v>
      </c>
      <c r="D429">
        <v>55.54</v>
      </c>
      <c r="E429">
        <v>22.13</v>
      </c>
      <c r="F429">
        <v>0.1381454</v>
      </c>
      <c r="G429">
        <v>2.57</v>
      </c>
      <c r="H429">
        <v>1.0645694999999999</v>
      </c>
      <c r="K429">
        <v>24.485811156537839</v>
      </c>
      <c r="L429">
        <v>20.832195998240969</v>
      </c>
      <c r="M429">
        <v>24.106726357619586</v>
      </c>
    </row>
    <row r="430" spans="1:13" x14ac:dyDescent="0.45">
      <c r="A430">
        <v>56.1</v>
      </c>
      <c r="B430">
        <v>0</v>
      </c>
      <c r="C430">
        <v>3.73</v>
      </c>
      <c r="D430">
        <v>53.29</v>
      </c>
      <c r="E430">
        <v>14.76</v>
      </c>
      <c r="F430">
        <v>1.7347307000000001</v>
      </c>
      <c r="G430">
        <v>1.49</v>
      </c>
      <c r="H430">
        <v>3.3834257000000001</v>
      </c>
      <c r="K430">
        <v>1.7292573544781142</v>
      </c>
      <c r="L430">
        <v>1.3000637393446186</v>
      </c>
      <c r="M430">
        <v>1.509677911253565</v>
      </c>
    </row>
    <row r="431" spans="1:13" x14ac:dyDescent="0.45">
      <c r="A431">
        <v>16.5</v>
      </c>
      <c r="B431">
        <v>1.3</v>
      </c>
      <c r="C431">
        <v>5.33</v>
      </c>
      <c r="D431">
        <v>127.76</v>
      </c>
      <c r="E431">
        <v>23.44</v>
      </c>
      <c r="F431">
        <v>2.6286966999999999</v>
      </c>
      <c r="G431">
        <v>21.62</v>
      </c>
      <c r="H431">
        <v>2.798683</v>
      </c>
      <c r="K431">
        <v>25.994834858140386</v>
      </c>
      <c r="L431">
        <v>27.702559021185134</v>
      </c>
      <c r="M431">
        <v>29.03467889224963</v>
      </c>
    </row>
    <row r="432" spans="1:13" x14ac:dyDescent="0.45">
      <c r="A432">
        <v>11.3</v>
      </c>
      <c r="B432">
        <v>0.6</v>
      </c>
      <c r="C432">
        <v>7.52</v>
      </c>
      <c r="D432">
        <v>223.17</v>
      </c>
      <c r="E432">
        <v>22.96</v>
      </c>
      <c r="F432">
        <v>2.6033757000000001E-2</v>
      </c>
      <c r="G432">
        <v>3.57</v>
      </c>
      <c r="H432">
        <v>6.8538465000000004</v>
      </c>
      <c r="K432">
        <v>45.114053335007895</v>
      </c>
      <c r="L432">
        <v>42.204470946622138</v>
      </c>
      <c r="M432">
        <v>39.462708353978762</v>
      </c>
    </row>
    <row r="433" spans="1:13" x14ac:dyDescent="0.45">
      <c r="A433">
        <v>20.9</v>
      </c>
      <c r="B433">
        <v>1.4</v>
      </c>
      <c r="C433">
        <v>3.66</v>
      </c>
      <c r="D433">
        <v>97.65</v>
      </c>
      <c r="E433">
        <v>20.51</v>
      </c>
      <c r="F433">
        <v>2.6494346000000002</v>
      </c>
      <c r="G433">
        <v>25.64</v>
      </c>
      <c r="H433">
        <v>2.8396710999999999</v>
      </c>
      <c r="K433">
        <v>23.847615995836275</v>
      </c>
      <c r="L433">
        <v>25.37699579760131</v>
      </c>
      <c r="M433">
        <v>26.615503625836077</v>
      </c>
    </row>
    <row r="434" spans="1:13" x14ac:dyDescent="0.45">
      <c r="A434">
        <v>9.6999999999999993</v>
      </c>
      <c r="B434">
        <v>1.2</v>
      </c>
      <c r="C434">
        <v>0.85</v>
      </c>
      <c r="D434">
        <v>24.13</v>
      </c>
      <c r="E434">
        <v>23.66</v>
      </c>
      <c r="F434">
        <v>0.39603959999999999</v>
      </c>
      <c r="G434">
        <v>0.94</v>
      </c>
      <c r="H434">
        <v>1.8161958</v>
      </c>
      <c r="K434">
        <v>15.687352039762603</v>
      </c>
      <c r="L434">
        <v>12.416356693146223</v>
      </c>
      <c r="M434">
        <v>14.648752471676364</v>
      </c>
    </row>
    <row r="435" spans="1:13" x14ac:dyDescent="0.45">
      <c r="A435">
        <v>38.9</v>
      </c>
      <c r="B435">
        <v>0</v>
      </c>
      <c r="C435">
        <v>7.31</v>
      </c>
      <c r="D435">
        <v>135.01</v>
      </c>
      <c r="E435">
        <v>16.48</v>
      </c>
      <c r="F435">
        <v>2.0261714</v>
      </c>
      <c r="G435">
        <v>1.63</v>
      </c>
      <c r="H435">
        <v>1.33382</v>
      </c>
      <c r="K435">
        <v>8.9044866658399595</v>
      </c>
      <c r="L435">
        <v>9.5319703681904819</v>
      </c>
      <c r="M435">
        <v>12.235767353449958</v>
      </c>
    </row>
    <row r="436" spans="1:13" x14ac:dyDescent="0.45">
      <c r="A436">
        <v>157.80000000000001</v>
      </c>
      <c r="B436">
        <v>12.5</v>
      </c>
      <c r="C436">
        <v>5.7</v>
      </c>
      <c r="D436">
        <v>101.35</v>
      </c>
      <c r="E436">
        <v>17.78</v>
      </c>
      <c r="F436">
        <v>1.6036655</v>
      </c>
      <c r="G436">
        <v>3.82</v>
      </c>
      <c r="H436">
        <v>3.9635563</v>
      </c>
      <c r="K436">
        <v>131.2944247900306</v>
      </c>
      <c r="L436">
        <v>129.96799783652529</v>
      </c>
      <c r="M436">
        <v>129.29347557477737</v>
      </c>
    </row>
    <row r="437" spans="1:13" x14ac:dyDescent="0.45">
      <c r="A437">
        <v>83.2</v>
      </c>
      <c r="B437">
        <v>4.8</v>
      </c>
      <c r="C437">
        <v>5.6</v>
      </c>
      <c r="D437">
        <v>198.73</v>
      </c>
      <c r="E437">
        <v>21.84</v>
      </c>
      <c r="F437">
        <v>0.32763189999999998</v>
      </c>
      <c r="G437">
        <v>3.38</v>
      </c>
      <c r="H437">
        <v>4.0156660000000004</v>
      </c>
      <c r="K437">
        <v>81.231485231432544</v>
      </c>
      <c r="L437">
        <v>78.526713399255186</v>
      </c>
      <c r="M437">
        <v>78.920261875419371</v>
      </c>
    </row>
    <row r="438" spans="1:13" x14ac:dyDescent="0.45">
      <c r="A438">
        <v>12.8</v>
      </c>
      <c r="B438">
        <v>0.9</v>
      </c>
      <c r="C438">
        <v>3.55</v>
      </c>
      <c r="D438">
        <v>99.62</v>
      </c>
      <c r="E438">
        <v>27</v>
      </c>
      <c r="F438">
        <v>1.9402406000000001</v>
      </c>
      <c r="G438">
        <v>3.97</v>
      </c>
      <c r="H438">
        <v>4.5167479999999998</v>
      </c>
      <c r="K438">
        <v>23.598478533582245</v>
      </c>
      <c r="L438">
        <v>23.953683306485509</v>
      </c>
      <c r="M438">
        <v>23.43121618398391</v>
      </c>
    </row>
    <row r="439" spans="1:13" x14ac:dyDescent="0.45">
      <c r="A439">
        <v>74.2</v>
      </c>
      <c r="B439">
        <v>7.7</v>
      </c>
      <c r="C439">
        <v>6.62</v>
      </c>
      <c r="D439">
        <v>93.02</v>
      </c>
      <c r="E439">
        <v>15.35</v>
      </c>
      <c r="F439">
        <v>1.6927768000000001</v>
      </c>
      <c r="G439">
        <v>2.73</v>
      </c>
      <c r="H439">
        <v>2.3735985999999998</v>
      </c>
      <c r="K439">
        <v>78.102768466316206</v>
      </c>
      <c r="L439">
        <v>77.209676686932752</v>
      </c>
      <c r="M439">
        <v>78.237462525026388</v>
      </c>
    </row>
    <row r="440" spans="1:13" x14ac:dyDescent="0.45">
      <c r="A440">
        <v>48.2</v>
      </c>
      <c r="B440">
        <v>4.5999999999999996</v>
      </c>
      <c r="C440">
        <v>3.46</v>
      </c>
      <c r="D440">
        <v>74.36</v>
      </c>
      <c r="E440">
        <v>21.01</v>
      </c>
      <c r="F440">
        <v>1.64042</v>
      </c>
      <c r="G440">
        <v>10.35</v>
      </c>
      <c r="H440">
        <v>1.9293598000000001</v>
      </c>
      <c r="K440">
        <v>51.362642437853623</v>
      </c>
      <c r="L440">
        <v>50.56042827741669</v>
      </c>
      <c r="M440">
        <v>52.566056533835066</v>
      </c>
    </row>
    <row r="441" spans="1:13" x14ac:dyDescent="0.45">
      <c r="A441">
        <v>9.6</v>
      </c>
      <c r="B441">
        <v>0</v>
      </c>
      <c r="C441">
        <v>4.5</v>
      </c>
      <c r="D441">
        <v>80.52</v>
      </c>
      <c r="E441">
        <v>17.02</v>
      </c>
      <c r="F441">
        <v>0.72046109999999997</v>
      </c>
      <c r="G441">
        <v>1.88</v>
      </c>
      <c r="H441">
        <v>3.1079664</v>
      </c>
      <c r="K441">
        <v>8.0547523349322745</v>
      </c>
      <c r="L441">
        <v>5.7196575830205738</v>
      </c>
      <c r="M441">
        <v>6.3848458443674314</v>
      </c>
    </row>
    <row r="442" spans="1:13" x14ac:dyDescent="0.45">
      <c r="A442">
        <v>15.7</v>
      </c>
      <c r="B442">
        <v>1.1000000000000001</v>
      </c>
      <c r="C442">
        <v>3.16</v>
      </c>
      <c r="D442">
        <v>81.17</v>
      </c>
      <c r="E442">
        <v>25.85</v>
      </c>
      <c r="F442">
        <v>0.60911329999999997</v>
      </c>
      <c r="G442">
        <v>6.57</v>
      </c>
      <c r="H442">
        <v>3.175548</v>
      </c>
      <c r="K442">
        <v>23.448153707636408</v>
      </c>
      <c r="L442">
        <v>20.911587208312106</v>
      </c>
      <c r="M442">
        <v>21.782414932072065</v>
      </c>
    </row>
    <row r="443" spans="1:13" x14ac:dyDescent="0.45">
      <c r="A443">
        <v>8.5</v>
      </c>
      <c r="B443">
        <v>0.9</v>
      </c>
      <c r="C443">
        <v>3.3</v>
      </c>
      <c r="D443">
        <v>65.94</v>
      </c>
      <c r="E443">
        <v>19.57</v>
      </c>
      <c r="F443">
        <v>1.6030873999999999</v>
      </c>
      <c r="G443">
        <v>6.01</v>
      </c>
      <c r="H443">
        <v>1.1642125000000001</v>
      </c>
      <c r="K443">
        <v>12.714280177414205</v>
      </c>
      <c r="L443">
        <v>12.069444983866198</v>
      </c>
      <c r="M443">
        <v>14.985487722756194</v>
      </c>
    </row>
    <row r="444" spans="1:13" x14ac:dyDescent="0.45">
      <c r="A444">
        <v>5.7</v>
      </c>
      <c r="B444">
        <v>0.2</v>
      </c>
      <c r="C444">
        <v>0.81</v>
      </c>
      <c r="D444">
        <v>40.049999999999997</v>
      </c>
      <c r="E444">
        <v>58.04</v>
      </c>
      <c r="F444">
        <v>0</v>
      </c>
      <c r="G444">
        <v>3.49</v>
      </c>
      <c r="H444">
        <v>4.5925775</v>
      </c>
      <c r="K444">
        <v>17.496504479286813</v>
      </c>
      <c r="L444">
        <v>13.954918111854552</v>
      </c>
      <c r="M444">
        <v>13.661442591672964</v>
      </c>
    </row>
    <row r="445" spans="1:13" x14ac:dyDescent="0.45">
      <c r="A445">
        <v>44</v>
      </c>
      <c r="B445">
        <v>5.3</v>
      </c>
      <c r="C445">
        <v>1.59</v>
      </c>
      <c r="D445">
        <v>34.56</v>
      </c>
      <c r="E445">
        <v>17.809999999999999</v>
      </c>
      <c r="F445">
        <v>0.99833609999999995</v>
      </c>
      <c r="G445">
        <v>4.1100000000000003</v>
      </c>
      <c r="H445">
        <v>2.1080317000000002</v>
      </c>
      <c r="K445">
        <v>54.789725676846871</v>
      </c>
      <c r="L445">
        <v>52.418075768302401</v>
      </c>
      <c r="M445">
        <v>54.100626812697456</v>
      </c>
    </row>
    <row r="446" spans="1:13" x14ac:dyDescent="0.45">
      <c r="A446">
        <v>66.099999999999994</v>
      </c>
      <c r="B446">
        <v>5.3</v>
      </c>
      <c r="C446">
        <v>1.59</v>
      </c>
      <c r="D446">
        <v>34.090000000000003</v>
      </c>
      <c r="E446">
        <v>17.57</v>
      </c>
      <c r="F446">
        <v>1.0084033999999999</v>
      </c>
      <c r="G446">
        <v>4.04</v>
      </c>
      <c r="H446">
        <v>3.1654841999999999</v>
      </c>
      <c r="K446">
        <v>55.830175212899469</v>
      </c>
      <c r="L446">
        <v>53.471888312128797</v>
      </c>
      <c r="M446">
        <v>53.955023251542514</v>
      </c>
    </row>
    <row r="447" spans="1:13" x14ac:dyDescent="0.45">
      <c r="A447">
        <v>27</v>
      </c>
      <c r="B447">
        <v>2.5</v>
      </c>
      <c r="C447">
        <v>4.79</v>
      </c>
      <c r="D447">
        <v>73.92</v>
      </c>
      <c r="E447">
        <v>13.92</v>
      </c>
      <c r="F447">
        <v>1.6353229</v>
      </c>
      <c r="G447">
        <v>2.5499999999999998</v>
      </c>
      <c r="H447">
        <v>0.93730986000000005</v>
      </c>
      <c r="K447">
        <v>25.640543304463595</v>
      </c>
      <c r="L447">
        <v>24.919005996745955</v>
      </c>
      <c r="M447">
        <v>27.817284636994611</v>
      </c>
    </row>
    <row r="448" spans="1:13" x14ac:dyDescent="0.45">
      <c r="A448">
        <v>90.9</v>
      </c>
      <c r="B448">
        <v>0</v>
      </c>
      <c r="C448">
        <v>3.52</v>
      </c>
      <c r="D448">
        <v>52.65</v>
      </c>
      <c r="E448">
        <v>15.35</v>
      </c>
      <c r="F448">
        <v>2.189781</v>
      </c>
      <c r="G448">
        <v>2.09</v>
      </c>
      <c r="H448">
        <v>3.7773547000000001</v>
      </c>
      <c r="K448">
        <v>1.6601363989483311</v>
      </c>
      <c r="L448">
        <v>2.1699428126421414</v>
      </c>
      <c r="M448">
        <v>1.9685133358004392</v>
      </c>
    </row>
    <row r="449" spans="1:13" x14ac:dyDescent="0.45">
      <c r="A449">
        <v>9.1</v>
      </c>
      <c r="B449">
        <v>0.7</v>
      </c>
      <c r="C449">
        <v>1.08</v>
      </c>
      <c r="D449">
        <v>32.92</v>
      </c>
      <c r="E449">
        <v>17.79</v>
      </c>
      <c r="F449">
        <v>3.6686390000000002</v>
      </c>
      <c r="G449">
        <v>3.27</v>
      </c>
      <c r="H449">
        <v>12.365829</v>
      </c>
      <c r="K449">
        <v>16.757890652520803</v>
      </c>
      <c r="L449">
        <v>20.199866605341679</v>
      </c>
      <c r="M449">
        <v>10.517906968336893</v>
      </c>
    </row>
    <row r="450" spans="1:13" x14ac:dyDescent="0.45">
      <c r="A450">
        <v>13.3</v>
      </c>
      <c r="B450">
        <v>1</v>
      </c>
      <c r="C450">
        <v>6.52</v>
      </c>
      <c r="D450">
        <v>209.09</v>
      </c>
      <c r="E450">
        <v>32.07</v>
      </c>
      <c r="F450">
        <v>0</v>
      </c>
      <c r="G450">
        <v>8.0399999999999991</v>
      </c>
      <c r="H450">
        <v>3.3779113000000001</v>
      </c>
      <c r="K450">
        <v>45.425648797730773</v>
      </c>
      <c r="L450">
        <v>42.446384396867018</v>
      </c>
      <c r="M450">
        <v>43.755795231581033</v>
      </c>
    </row>
    <row r="451" spans="1:13" x14ac:dyDescent="0.45">
      <c r="A451">
        <v>5.9</v>
      </c>
      <c r="B451">
        <v>0.4</v>
      </c>
      <c r="C451">
        <v>0.45</v>
      </c>
      <c r="D451">
        <v>13.14</v>
      </c>
      <c r="E451">
        <v>32.049999999999997</v>
      </c>
      <c r="F451">
        <v>0</v>
      </c>
      <c r="G451">
        <v>2.72</v>
      </c>
      <c r="H451">
        <v>1.6023080000000001</v>
      </c>
      <c r="K451">
        <v>7.9001487427254133</v>
      </c>
      <c r="L451">
        <v>3.8941871009208828</v>
      </c>
      <c r="M451">
        <v>6.4642755764113957</v>
      </c>
    </row>
    <row r="452" spans="1:13" x14ac:dyDescent="0.45">
      <c r="A452">
        <v>5.4</v>
      </c>
      <c r="B452">
        <v>0.4</v>
      </c>
      <c r="C452">
        <v>0.45</v>
      </c>
      <c r="D452">
        <v>11.95</v>
      </c>
      <c r="E452">
        <v>29.15</v>
      </c>
      <c r="F452">
        <v>0</v>
      </c>
      <c r="G452">
        <v>2.5</v>
      </c>
      <c r="H452">
        <v>1.4738787</v>
      </c>
      <c r="K452">
        <v>7.153586381820511</v>
      </c>
      <c r="L452">
        <v>3.1087656139673965</v>
      </c>
      <c r="M452">
        <v>5.7770344809950984</v>
      </c>
    </row>
    <row r="453" spans="1:13" x14ac:dyDescent="0.45">
      <c r="A453">
        <v>19.399999999999999</v>
      </c>
      <c r="B453">
        <v>5.9</v>
      </c>
      <c r="C453">
        <v>7.05</v>
      </c>
      <c r="D453">
        <v>63.37</v>
      </c>
      <c r="E453">
        <v>8.85</v>
      </c>
      <c r="F453">
        <v>0</v>
      </c>
      <c r="G453">
        <v>2.09</v>
      </c>
      <c r="H453">
        <v>0.50204959999999998</v>
      </c>
      <c r="K453">
        <v>53.48471055715509</v>
      </c>
      <c r="L453">
        <v>48.968689461719038</v>
      </c>
      <c r="M453">
        <v>51.765155004971703</v>
      </c>
    </row>
    <row r="454" spans="1:13" x14ac:dyDescent="0.45">
      <c r="A454">
        <v>218.8</v>
      </c>
      <c r="B454">
        <v>17.5</v>
      </c>
      <c r="C454">
        <v>10.71</v>
      </c>
      <c r="D454">
        <v>216.46</v>
      </c>
      <c r="E454">
        <v>21.47</v>
      </c>
      <c r="F454">
        <v>1.3284917000000001</v>
      </c>
      <c r="G454">
        <v>4.71</v>
      </c>
      <c r="H454">
        <v>1.0903316000000001</v>
      </c>
      <c r="K454">
        <v>191.91134891391829</v>
      </c>
      <c r="L454">
        <v>190.31208045937836</v>
      </c>
      <c r="M454">
        <v>193.00288099316438</v>
      </c>
    </row>
    <row r="455" spans="1:13" x14ac:dyDescent="0.45">
      <c r="A455">
        <v>96.4</v>
      </c>
      <c r="B455">
        <v>7.9</v>
      </c>
      <c r="C455">
        <v>5.62</v>
      </c>
      <c r="D455">
        <v>109.28</v>
      </c>
      <c r="E455">
        <v>18.27</v>
      </c>
      <c r="F455">
        <v>2.9666695999999999</v>
      </c>
      <c r="G455">
        <v>64.7</v>
      </c>
      <c r="H455">
        <v>1.4744618</v>
      </c>
      <c r="K455">
        <v>83.205051869159561</v>
      </c>
      <c r="L455">
        <v>84.624214578494261</v>
      </c>
      <c r="M455">
        <v>86.982612547268303</v>
      </c>
    </row>
    <row r="456" spans="1:13" x14ac:dyDescent="0.45">
      <c r="A456">
        <v>14.7</v>
      </c>
      <c r="B456">
        <v>2.8</v>
      </c>
      <c r="C456">
        <v>15.72</v>
      </c>
      <c r="D456">
        <v>161.99</v>
      </c>
      <c r="E456">
        <v>16.329999999999998</v>
      </c>
      <c r="F456">
        <v>0</v>
      </c>
      <c r="G456">
        <v>4.53</v>
      </c>
      <c r="H456">
        <v>2.1782618</v>
      </c>
      <c r="K456">
        <v>27.697636290390168</v>
      </c>
      <c r="L456">
        <v>23.872056930975042</v>
      </c>
      <c r="M456">
        <v>24.517271688699172</v>
      </c>
    </row>
    <row r="457" spans="1:13" x14ac:dyDescent="0.45">
      <c r="A457">
        <v>105.4</v>
      </c>
      <c r="B457">
        <v>10.6</v>
      </c>
      <c r="C457">
        <v>5.7</v>
      </c>
      <c r="D457">
        <v>127.48</v>
      </c>
      <c r="E457">
        <v>19.260000000000002</v>
      </c>
      <c r="F457">
        <v>2.1216943000000001</v>
      </c>
      <c r="G457">
        <v>3.4</v>
      </c>
      <c r="H457">
        <v>1.7324123</v>
      </c>
      <c r="K457">
        <v>115.15859197763649</v>
      </c>
      <c r="L457">
        <v>115.23016876690745</v>
      </c>
      <c r="M457">
        <v>117.36975559461915</v>
      </c>
    </row>
    <row r="458" spans="1:13" x14ac:dyDescent="0.45">
      <c r="A458">
        <v>11.1</v>
      </c>
      <c r="B458">
        <v>1.7</v>
      </c>
      <c r="C458">
        <v>7.14</v>
      </c>
      <c r="D458">
        <v>114.87</v>
      </c>
      <c r="E458">
        <v>15.36</v>
      </c>
      <c r="F458">
        <v>0.34153004999999997</v>
      </c>
      <c r="G458">
        <v>2.21</v>
      </c>
      <c r="H458">
        <v>1.3158662000000001</v>
      </c>
      <c r="K458">
        <v>24.726826157177971</v>
      </c>
      <c r="L458">
        <v>21.622765300560236</v>
      </c>
      <c r="M458">
        <v>24.135209101478367</v>
      </c>
    </row>
    <row r="459" spans="1:13" x14ac:dyDescent="0.45">
      <c r="A459">
        <v>11.3</v>
      </c>
      <c r="B459">
        <v>0</v>
      </c>
      <c r="C459">
        <v>4.38</v>
      </c>
      <c r="D459">
        <v>47.87</v>
      </c>
      <c r="E459">
        <v>11.51</v>
      </c>
      <c r="F459">
        <v>1.8189006999999999</v>
      </c>
      <c r="G459">
        <v>1.19</v>
      </c>
      <c r="H459">
        <v>0.99849239999999995</v>
      </c>
      <c r="K459">
        <v>-4.2517681886664445</v>
      </c>
      <c r="L459">
        <v>-4.5915964237813958</v>
      </c>
      <c r="M459">
        <v>-1.8759544154943857</v>
      </c>
    </row>
    <row r="460" spans="1:13" x14ac:dyDescent="0.45">
      <c r="A460">
        <v>31.8</v>
      </c>
      <c r="B460">
        <v>1.6</v>
      </c>
      <c r="C460">
        <v>2.5499999999999998</v>
      </c>
      <c r="D460">
        <v>78.75</v>
      </c>
      <c r="E460">
        <v>25.9</v>
      </c>
      <c r="F460">
        <v>2.2865665000000002</v>
      </c>
      <c r="G460">
        <v>7.89</v>
      </c>
      <c r="H460">
        <v>3.7110943999999999</v>
      </c>
      <c r="K460">
        <v>26.393960919357959</v>
      </c>
      <c r="L460">
        <v>27.262010764819649</v>
      </c>
      <c r="M460">
        <v>27.584219571633604</v>
      </c>
    </row>
    <row r="461" spans="1:13" x14ac:dyDescent="0.45">
      <c r="A461">
        <v>39.299999999999997</v>
      </c>
      <c r="B461">
        <v>5.4</v>
      </c>
      <c r="C461">
        <v>9.24</v>
      </c>
      <c r="D461">
        <v>86.77</v>
      </c>
      <c r="E461">
        <v>18.739999999999998</v>
      </c>
      <c r="F461">
        <v>3.5618877000000002</v>
      </c>
      <c r="G461">
        <v>1.93</v>
      </c>
      <c r="H461">
        <v>0.42119180000000001</v>
      </c>
      <c r="K461">
        <v>42.41795695772209</v>
      </c>
      <c r="L461">
        <v>45.46904295486447</v>
      </c>
      <c r="M461">
        <v>48.370119120975573</v>
      </c>
    </row>
    <row r="462" spans="1:13" x14ac:dyDescent="0.45">
      <c r="A462">
        <v>10.7</v>
      </c>
      <c r="B462">
        <v>0.5</v>
      </c>
      <c r="C462">
        <v>2.69</v>
      </c>
      <c r="D462">
        <v>112.82</v>
      </c>
      <c r="E462">
        <v>29.93</v>
      </c>
      <c r="F462">
        <v>0</v>
      </c>
      <c r="G462">
        <v>7.32</v>
      </c>
      <c r="H462">
        <v>3.9652251999999999</v>
      </c>
      <c r="K462">
        <v>28.391092787893779</v>
      </c>
      <c r="L462">
        <v>24.904785147086532</v>
      </c>
      <c r="M462">
        <v>25.292778427528646</v>
      </c>
    </row>
    <row r="463" spans="1:13" x14ac:dyDescent="0.45">
      <c r="A463">
        <v>18.899999999999999</v>
      </c>
      <c r="B463">
        <v>1.9</v>
      </c>
      <c r="C463">
        <v>1.86</v>
      </c>
      <c r="D463">
        <v>50.92</v>
      </c>
      <c r="E463">
        <v>12.21</v>
      </c>
      <c r="F463">
        <v>5.9656409999999997</v>
      </c>
      <c r="G463">
        <v>1.76</v>
      </c>
      <c r="H463">
        <v>7.0740495000000001</v>
      </c>
      <c r="K463">
        <v>19.327660693608216</v>
      </c>
      <c r="L463">
        <v>27.461102865168595</v>
      </c>
      <c r="M463">
        <v>23.675969573238365</v>
      </c>
    </row>
    <row r="464" spans="1:13" x14ac:dyDescent="0.45">
      <c r="A464">
        <v>10.8</v>
      </c>
      <c r="B464">
        <v>0.8</v>
      </c>
      <c r="C464">
        <v>3.43</v>
      </c>
      <c r="D464">
        <v>105.62</v>
      </c>
      <c r="E464">
        <v>29.5</v>
      </c>
      <c r="F464">
        <v>0</v>
      </c>
      <c r="G464">
        <v>10.82</v>
      </c>
      <c r="H464">
        <v>12.401828999999999</v>
      </c>
      <c r="K464">
        <v>37.481411394842191</v>
      </c>
      <c r="L464">
        <v>33.858137807709483</v>
      </c>
      <c r="M464">
        <v>24.547463550042288</v>
      </c>
    </row>
    <row r="465" spans="1:13" x14ac:dyDescent="0.45">
      <c r="A465">
        <v>15.6</v>
      </c>
      <c r="B465">
        <v>1</v>
      </c>
      <c r="C465">
        <v>3.45</v>
      </c>
      <c r="D465">
        <v>92.28</v>
      </c>
      <c r="E465">
        <v>28.84</v>
      </c>
      <c r="F465">
        <v>0</v>
      </c>
      <c r="G465">
        <v>9.34</v>
      </c>
      <c r="H465">
        <v>9.9354739999999993</v>
      </c>
      <c r="K465">
        <v>33.53025700550382</v>
      </c>
      <c r="L465">
        <v>29.812984718997232</v>
      </c>
      <c r="M465">
        <v>23.153016528670168</v>
      </c>
    </row>
    <row r="466" spans="1:13" x14ac:dyDescent="0.45">
      <c r="A466">
        <v>208.1</v>
      </c>
      <c r="B466">
        <v>45.7</v>
      </c>
      <c r="C466">
        <v>7.36</v>
      </c>
      <c r="D466">
        <v>49.04</v>
      </c>
      <c r="E466">
        <v>13.08</v>
      </c>
      <c r="F466">
        <v>4.626544</v>
      </c>
      <c r="G466">
        <v>7.96</v>
      </c>
      <c r="H466">
        <v>1.6452544</v>
      </c>
      <c r="K466">
        <v>430.75395210726515</v>
      </c>
      <c r="L466">
        <v>432.77723048488303</v>
      </c>
      <c r="M466">
        <v>432.95110860199821</v>
      </c>
    </row>
    <row r="467" spans="1:13" x14ac:dyDescent="0.45">
      <c r="A467">
        <v>39.4</v>
      </c>
      <c r="B467">
        <v>0.1</v>
      </c>
      <c r="C467">
        <v>1.04</v>
      </c>
      <c r="D467">
        <v>151.6</v>
      </c>
      <c r="E467">
        <v>252.67</v>
      </c>
      <c r="F467">
        <v>0</v>
      </c>
      <c r="G467">
        <v>21.91</v>
      </c>
      <c r="H467">
        <v>16.185403999999998</v>
      </c>
      <c r="K467">
        <v>76.561729793463698</v>
      </c>
      <c r="L467">
        <v>75.803284075113268</v>
      </c>
      <c r="M467">
        <v>65.804967075518519</v>
      </c>
    </row>
    <row r="468" spans="1:13" x14ac:dyDescent="0.45">
      <c r="A468">
        <v>10.6</v>
      </c>
      <c r="B468">
        <v>5.6</v>
      </c>
      <c r="C468">
        <v>4.68</v>
      </c>
      <c r="D468">
        <v>32.71</v>
      </c>
      <c r="E468">
        <v>8.68</v>
      </c>
      <c r="F468">
        <v>2.6220910000000002</v>
      </c>
      <c r="G468">
        <v>2.08</v>
      </c>
      <c r="H468">
        <v>1.0924768</v>
      </c>
      <c r="K468">
        <v>44.506155193906075</v>
      </c>
      <c r="L468">
        <v>45.266973465682668</v>
      </c>
      <c r="M468">
        <v>47.496469584450935</v>
      </c>
    </row>
    <row r="469" spans="1:13" x14ac:dyDescent="0.45">
      <c r="A469">
        <v>270</v>
      </c>
      <c r="B469">
        <v>13.1</v>
      </c>
      <c r="C469">
        <v>2.8</v>
      </c>
      <c r="D469">
        <v>113.86</v>
      </c>
      <c r="E469">
        <v>32.72</v>
      </c>
      <c r="F469">
        <v>0.70204765000000002</v>
      </c>
      <c r="G469">
        <v>9.4</v>
      </c>
      <c r="H469">
        <v>14.433654000000001</v>
      </c>
      <c r="K469">
        <v>162.20133456755752</v>
      </c>
      <c r="L469">
        <v>159.24816354719488</v>
      </c>
      <c r="M469">
        <v>147.47331459477206</v>
      </c>
    </row>
    <row r="470" spans="1:13" x14ac:dyDescent="0.45">
      <c r="A470">
        <v>12.8</v>
      </c>
      <c r="B470">
        <v>0</v>
      </c>
      <c r="C470">
        <v>4.33</v>
      </c>
      <c r="D470">
        <v>66.180000000000007</v>
      </c>
      <c r="E470">
        <v>16.22</v>
      </c>
      <c r="F470">
        <v>3.7444280000000001</v>
      </c>
      <c r="G470">
        <v>3.63</v>
      </c>
      <c r="H470">
        <v>7.1491002999999997</v>
      </c>
      <c r="K470">
        <v>3.5109045039370899</v>
      </c>
      <c r="L470">
        <v>7.2757145163350803</v>
      </c>
      <c r="M470">
        <v>3.2776755764386016</v>
      </c>
    </row>
    <row r="471" spans="1:13" x14ac:dyDescent="0.45">
      <c r="A471">
        <v>17</v>
      </c>
      <c r="B471">
        <v>1</v>
      </c>
      <c r="C471">
        <v>3.1</v>
      </c>
      <c r="D471">
        <v>121.47</v>
      </c>
      <c r="E471">
        <v>40.9</v>
      </c>
      <c r="F471">
        <v>0.77978789999999998</v>
      </c>
      <c r="G471">
        <v>3.54</v>
      </c>
      <c r="H471">
        <v>5.7576875999999997</v>
      </c>
      <c r="K471">
        <v>35.90522479145659</v>
      </c>
      <c r="L471">
        <v>34.181060221563392</v>
      </c>
      <c r="M471">
        <v>32.683273146820937</v>
      </c>
    </row>
    <row r="472" spans="1:13" x14ac:dyDescent="0.45">
      <c r="A472">
        <v>304.7</v>
      </c>
      <c r="B472">
        <v>30.7</v>
      </c>
      <c r="C472">
        <v>4.3899999999999997</v>
      </c>
      <c r="D472">
        <v>100.02</v>
      </c>
      <c r="E472">
        <v>23.1</v>
      </c>
      <c r="F472">
        <v>1.983471</v>
      </c>
      <c r="G472">
        <v>3.89</v>
      </c>
      <c r="H472">
        <v>0.82099425999999998</v>
      </c>
      <c r="K472">
        <v>308.18885985209124</v>
      </c>
      <c r="L472">
        <v>306.42280415831783</v>
      </c>
      <c r="M472">
        <v>308.98435387066138</v>
      </c>
    </row>
    <row r="473" spans="1:13" x14ac:dyDescent="0.45">
      <c r="A473">
        <v>70.900000000000006</v>
      </c>
      <c r="B473">
        <v>7.1</v>
      </c>
      <c r="C473">
        <v>3.78</v>
      </c>
      <c r="D473">
        <v>68.22</v>
      </c>
      <c r="E473">
        <v>13.38</v>
      </c>
      <c r="F473">
        <v>2.2368237999999998</v>
      </c>
      <c r="G473">
        <v>3.06</v>
      </c>
      <c r="H473">
        <v>0.59043880000000004</v>
      </c>
      <c r="K473">
        <v>69.995054198076886</v>
      </c>
      <c r="L473">
        <v>70.159942291367884</v>
      </c>
      <c r="M473">
        <v>73.403115082145845</v>
      </c>
    </row>
    <row r="474" spans="1:13" x14ac:dyDescent="0.45">
      <c r="A474">
        <v>35.5</v>
      </c>
      <c r="B474">
        <v>3.9</v>
      </c>
      <c r="C474">
        <v>2.66</v>
      </c>
      <c r="D474">
        <v>79.12</v>
      </c>
      <c r="E474">
        <v>25.36</v>
      </c>
      <c r="F474">
        <v>2.0800195000000001</v>
      </c>
      <c r="G474">
        <v>6.73</v>
      </c>
      <c r="H474">
        <v>3.2787668999999999</v>
      </c>
      <c r="K474">
        <v>48.558328752274633</v>
      </c>
      <c r="L474">
        <v>48.83815143861181</v>
      </c>
      <c r="M474">
        <v>49.557406016634445</v>
      </c>
    </row>
    <row r="475" spans="1:13" x14ac:dyDescent="0.45">
      <c r="A475">
        <v>16.100000000000001</v>
      </c>
      <c r="B475">
        <v>0.8</v>
      </c>
      <c r="C475">
        <v>0.19</v>
      </c>
      <c r="D475">
        <v>191.79</v>
      </c>
      <c r="E475">
        <v>26.64</v>
      </c>
      <c r="F475">
        <v>0</v>
      </c>
      <c r="G475">
        <v>6.15</v>
      </c>
      <c r="H475">
        <v>6.9824114000000002</v>
      </c>
      <c r="K475">
        <v>57.882775587886002</v>
      </c>
      <c r="L475">
        <v>54.927276711072508</v>
      </c>
      <c r="M475">
        <v>52.902054039312674</v>
      </c>
    </row>
    <row r="476" spans="1:13" x14ac:dyDescent="0.45">
      <c r="A476">
        <v>18.899999999999999</v>
      </c>
      <c r="B476">
        <v>2.7</v>
      </c>
      <c r="C476">
        <v>3.79</v>
      </c>
      <c r="D476">
        <v>59.5</v>
      </c>
      <c r="E476">
        <v>19.57</v>
      </c>
      <c r="F476">
        <v>3.691948</v>
      </c>
      <c r="G476">
        <v>2.1</v>
      </c>
      <c r="H476">
        <v>2.4834196999999998</v>
      </c>
      <c r="K476">
        <v>24.876729589953083</v>
      </c>
      <c r="L476">
        <v>28.368524901153634</v>
      </c>
      <c r="M476">
        <v>29.614625443621328</v>
      </c>
    </row>
    <row r="477" spans="1:13" x14ac:dyDescent="0.45">
      <c r="A477">
        <v>281.5</v>
      </c>
      <c r="B477">
        <v>0</v>
      </c>
      <c r="C477">
        <v>4.07</v>
      </c>
      <c r="D477">
        <v>55.4</v>
      </c>
      <c r="E477">
        <v>13.58</v>
      </c>
      <c r="F477">
        <v>2.7111575999999999</v>
      </c>
      <c r="G477">
        <v>1.58</v>
      </c>
      <c r="H477">
        <v>2.8728191999999999</v>
      </c>
      <c r="K477">
        <v>-1.3160630785842564</v>
      </c>
      <c r="L477">
        <v>0.25405843608619216</v>
      </c>
      <c r="M477">
        <v>0.99201947302603433</v>
      </c>
    </row>
    <row r="478" spans="1:13" x14ac:dyDescent="0.45">
      <c r="A478">
        <v>20.9</v>
      </c>
      <c r="B478">
        <v>1.9</v>
      </c>
      <c r="C478">
        <v>2.81</v>
      </c>
      <c r="D478">
        <v>54.67</v>
      </c>
      <c r="E478">
        <v>12.74</v>
      </c>
      <c r="F478">
        <v>6.1538462999999997</v>
      </c>
      <c r="G478">
        <v>1.49</v>
      </c>
      <c r="H478">
        <v>6.7252179999999999</v>
      </c>
      <c r="K478">
        <v>17.216069387147499</v>
      </c>
      <c r="L478">
        <v>25.743247084811607</v>
      </c>
      <c r="M478">
        <v>22.249023707347341</v>
      </c>
    </row>
    <row r="479" spans="1:13" x14ac:dyDescent="0.45">
      <c r="A479">
        <v>24.8</v>
      </c>
      <c r="B479">
        <v>5.2</v>
      </c>
      <c r="C479">
        <v>1.29</v>
      </c>
      <c r="D479">
        <v>80.09</v>
      </c>
      <c r="E479">
        <v>10.19</v>
      </c>
      <c r="F479">
        <v>2.3892009999999999</v>
      </c>
      <c r="G479">
        <v>2</v>
      </c>
      <c r="H479">
        <v>1.245503</v>
      </c>
      <c r="K479">
        <v>59.979619795756257</v>
      </c>
      <c r="L479">
        <v>60.712942758575899</v>
      </c>
      <c r="M479">
        <v>63.705273842916341</v>
      </c>
    </row>
    <row r="480" spans="1:13" x14ac:dyDescent="0.45">
      <c r="A480">
        <v>9</v>
      </c>
      <c r="B480">
        <v>0.7</v>
      </c>
      <c r="C480">
        <v>0.51</v>
      </c>
      <c r="D480">
        <v>18.809999999999999</v>
      </c>
      <c r="E480">
        <v>10.17</v>
      </c>
      <c r="F480">
        <v>3.5915854</v>
      </c>
      <c r="G480">
        <v>12.65</v>
      </c>
      <c r="H480">
        <v>2.2267700000000001</v>
      </c>
      <c r="K480">
        <v>2.8365224640840681</v>
      </c>
      <c r="L480">
        <v>5.9067284296599407</v>
      </c>
      <c r="M480">
        <v>7.5267648896306936</v>
      </c>
    </row>
    <row r="481" spans="1:13" x14ac:dyDescent="0.45">
      <c r="A481">
        <v>16.399999999999999</v>
      </c>
      <c r="B481">
        <v>2.2999999999999998</v>
      </c>
      <c r="C481">
        <v>2.77</v>
      </c>
      <c r="D481">
        <v>60.93</v>
      </c>
      <c r="E481">
        <v>23.26</v>
      </c>
      <c r="F481">
        <v>2.6699784000000002</v>
      </c>
      <c r="G481">
        <v>1.58</v>
      </c>
      <c r="H481">
        <v>1.075785</v>
      </c>
      <c r="K481">
        <v>24.613446193174894</v>
      </c>
      <c r="L481">
        <v>26.118845242258672</v>
      </c>
      <c r="M481">
        <v>29.174386131525551</v>
      </c>
    </row>
    <row r="482" spans="1:13" x14ac:dyDescent="0.45">
      <c r="A482">
        <v>26.1</v>
      </c>
      <c r="B482">
        <v>1.4</v>
      </c>
      <c r="C482">
        <v>0.77</v>
      </c>
      <c r="D482">
        <v>33.6</v>
      </c>
      <c r="E482">
        <v>34.29</v>
      </c>
      <c r="F482">
        <v>3.7079954000000002</v>
      </c>
      <c r="G482">
        <v>2.9</v>
      </c>
      <c r="H482">
        <v>3.6396793999999999</v>
      </c>
      <c r="K482">
        <v>16.434332074214584</v>
      </c>
      <c r="L482">
        <v>20.127094930038389</v>
      </c>
      <c r="M482">
        <v>20.523250472295999</v>
      </c>
    </row>
    <row r="483" spans="1:13" x14ac:dyDescent="0.45">
      <c r="A483">
        <v>12.2</v>
      </c>
      <c r="B483">
        <v>1.8</v>
      </c>
      <c r="C483">
        <v>4.51</v>
      </c>
      <c r="D483">
        <v>164.95</v>
      </c>
      <c r="E483">
        <v>11.77</v>
      </c>
      <c r="F483">
        <v>2.5652986000000002</v>
      </c>
      <c r="G483">
        <v>2.57</v>
      </c>
      <c r="H483">
        <v>0.58064795000000002</v>
      </c>
      <c r="K483">
        <v>37.268321311294123</v>
      </c>
      <c r="L483">
        <v>39.089861961403926</v>
      </c>
      <c r="M483">
        <v>43.197293984520257</v>
      </c>
    </row>
    <row r="484" spans="1:13" x14ac:dyDescent="0.45">
      <c r="A484">
        <v>24.8</v>
      </c>
      <c r="B484">
        <v>4</v>
      </c>
      <c r="C484">
        <v>-0.56999999999999995</v>
      </c>
      <c r="D484">
        <v>28.56</v>
      </c>
      <c r="E484">
        <v>48.41</v>
      </c>
      <c r="F484">
        <v>4</v>
      </c>
      <c r="G484">
        <v>3.01</v>
      </c>
      <c r="H484">
        <v>4.2982845000000003</v>
      </c>
      <c r="K484">
        <v>45.623448433065541</v>
      </c>
      <c r="L484">
        <v>49.891816433217002</v>
      </c>
      <c r="M484">
        <v>49.79968973557331</v>
      </c>
    </row>
    <row r="485" spans="1:13" x14ac:dyDescent="0.45">
      <c r="A485">
        <v>20.8</v>
      </c>
      <c r="B485">
        <v>1.4</v>
      </c>
      <c r="C485">
        <v>3.07</v>
      </c>
      <c r="D485">
        <v>152.36000000000001</v>
      </c>
      <c r="E485">
        <v>18.670000000000002</v>
      </c>
      <c r="F485">
        <v>1.3470580000000001</v>
      </c>
      <c r="G485">
        <v>2.1</v>
      </c>
      <c r="H485">
        <v>3.4484663000000002</v>
      </c>
      <c r="K485">
        <v>40.455182992564694</v>
      </c>
      <c r="L485">
        <v>39.83443182875304</v>
      </c>
      <c r="M485">
        <v>40.914192209256314</v>
      </c>
    </row>
    <row r="486" spans="1:13" x14ac:dyDescent="0.45">
      <c r="A486">
        <v>12</v>
      </c>
      <c r="B486">
        <v>1.2</v>
      </c>
      <c r="C486">
        <v>5.53</v>
      </c>
      <c r="D486">
        <v>113.56</v>
      </c>
      <c r="E486">
        <v>18.77</v>
      </c>
      <c r="F486">
        <v>1.9541778999999999</v>
      </c>
      <c r="G486">
        <v>18.91</v>
      </c>
      <c r="H486">
        <v>2.7332082</v>
      </c>
      <c r="K486">
        <v>22.126354180284448</v>
      </c>
      <c r="L486">
        <v>22.322804882651099</v>
      </c>
      <c r="M486">
        <v>23.522999408134986</v>
      </c>
    </row>
    <row r="487" spans="1:13" x14ac:dyDescent="0.45">
      <c r="A487">
        <v>18.2</v>
      </c>
      <c r="B487">
        <v>1.5</v>
      </c>
      <c r="C487">
        <v>7.27</v>
      </c>
      <c r="D487">
        <v>169.28</v>
      </c>
      <c r="E487">
        <v>31.7</v>
      </c>
      <c r="F487">
        <v>1.1279043</v>
      </c>
      <c r="G487">
        <v>51.69</v>
      </c>
      <c r="H487">
        <v>2.4786579999999998</v>
      </c>
      <c r="K487">
        <v>36.589783320404734</v>
      </c>
      <c r="L487">
        <v>35.284126839026968</v>
      </c>
      <c r="M487">
        <v>37.13911999394184</v>
      </c>
    </row>
    <row r="488" spans="1:13" x14ac:dyDescent="0.45">
      <c r="A488">
        <v>21.6</v>
      </c>
      <c r="B488">
        <v>3.9</v>
      </c>
      <c r="C488">
        <v>2.21</v>
      </c>
      <c r="D488">
        <v>42.44</v>
      </c>
      <c r="E488">
        <v>18.14</v>
      </c>
      <c r="F488">
        <v>3.3914273000000001</v>
      </c>
      <c r="G488">
        <v>1.94</v>
      </c>
      <c r="H488">
        <v>2.5204559999999998</v>
      </c>
      <c r="K488">
        <v>36.985028676791103</v>
      </c>
      <c r="L488">
        <v>39.689496737430048</v>
      </c>
      <c r="M488">
        <v>40.928845773127428</v>
      </c>
    </row>
    <row r="489" spans="1:13" x14ac:dyDescent="0.45">
      <c r="A489">
        <v>7.9</v>
      </c>
      <c r="B489">
        <v>1.2</v>
      </c>
      <c r="C489">
        <v>0.59</v>
      </c>
      <c r="D489">
        <v>29.8</v>
      </c>
      <c r="E489">
        <v>8.8699999999999992</v>
      </c>
      <c r="F489">
        <v>3.2071839999999998</v>
      </c>
      <c r="G489">
        <v>1.49</v>
      </c>
      <c r="H489">
        <v>0.78776559999999995</v>
      </c>
      <c r="K489">
        <v>8.9264325449159383</v>
      </c>
      <c r="L489">
        <v>11.3110043908574</v>
      </c>
      <c r="M489">
        <v>14.603219677876798</v>
      </c>
    </row>
    <row r="490" spans="1:13" x14ac:dyDescent="0.45">
      <c r="A490">
        <v>17.100000000000001</v>
      </c>
      <c r="B490">
        <v>0.8</v>
      </c>
      <c r="C490">
        <v>2.3199999999999998</v>
      </c>
      <c r="D490">
        <v>62.82</v>
      </c>
      <c r="E490">
        <v>27.19</v>
      </c>
      <c r="F490">
        <v>2.0904881999999998</v>
      </c>
      <c r="G490">
        <v>7.22</v>
      </c>
      <c r="H490">
        <v>7.1012060000000004</v>
      </c>
      <c r="K490">
        <v>19.927223005405295</v>
      </c>
      <c r="L490">
        <v>20.365017231767023</v>
      </c>
      <c r="M490">
        <v>16.804396308463041</v>
      </c>
    </row>
    <row r="491" spans="1:13" x14ac:dyDescent="0.45">
      <c r="A491">
        <v>10.8</v>
      </c>
      <c r="B491">
        <v>0</v>
      </c>
      <c r="C491">
        <v>-2.2400000000000002</v>
      </c>
      <c r="D491">
        <v>41.26</v>
      </c>
      <c r="E491">
        <v>-19.93</v>
      </c>
      <c r="F491">
        <v>2.0952381999999998</v>
      </c>
      <c r="G491">
        <v>0.97</v>
      </c>
      <c r="H491">
        <v>0.84394186999999998</v>
      </c>
      <c r="K491">
        <v>5.4392149369434453</v>
      </c>
      <c r="L491">
        <v>5.4543586696719046</v>
      </c>
      <c r="M491">
        <v>8.8736993214991067</v>
      </c>
    </row>
    <row r="492" spans="1:13" x14ac:dyDescent="0.45">
      <c r="A492">
        <v>12.9</v>
      </c>
      <c r="B492">
        <v>0.7</v>
      </c>
      <c r="C492">
        <v>1.83</v>
      </c>
      <c r="D492">
        <v>70.239999999999995</v>
      </c>
      <c r="E492">
        <v>30.94</v>
      </c>
      <c r="F492">
        <v>1.1700794000000001</v>
      </c>
      <c r="G492">
        <v>5.31</v>
      </c>
      <c r="H492">
        <v>2.7262094000000001</v>
      </c>
      <c r="K492">
        <v>19.128357523619837</v>
      </c>
      <c r="L492">
        <v>17.808167092218952</v>
      </c>
      <c r="M492">
        <v>19.366760405529529</v>
      </c>
    </row>
    <row r="493" spans="1:13" x14ac:dyDescent="0.45">
      <c r="A493">
        <v>27</v>
      </c>
      <c r="B493">
        <v>2.2999999999999998</v>
      </c>
      <c r="C493">
        <v>4.07</v>
      </c>
      <c r="D493">
        <v>76.3</v>
      </c>
      <c r="E493">
        <v>27.25</v>
      </c>
      <c r="F493">
        <v>1.7970797999999999</v>
      </c>
      <c r="G493">
        <v>212.08</v>
      </c>
      <c r="H493">
        <v>6.3136362999999998</v>
      </c>
      <c r="K493">
        <v>34.745382753970148</v>
      </c>
      <c r="L493">
        <v>32.983748686970003</v>
      </c>
      <c r="M493">
        <v>30.120664314206682</v>
      </c>
    </row>
    <row r="494" spans="1:13" x14ac:dyDescent="0.45">
      <c r="A494">
        <v>24.5</v>
      </c>
      <c r="B494">
        <v>2</v>
      </c>
      <c r="C494">
        <v>9.01</v>
      </c>
      <c r="D494">
        <v>115.53</v>
      </c>
      <c r="E494">
        <v>14.32</v>
      </c>
      <c r="F494">
        <v>0.79483360000000003</v>
      </c>
      <c r="G494">
        <v>2.39</v>
      </c>
      <c r="H494">
        <v>3.1648953</v>
      </c>
      <c r="K494">
        <v>24.456948585379255</v>
      </c>
      <c r="L494">
        <v>22.198681031778147</v>
      </c>
      <c r="M494">
        <v>22.33207512864475</v>
      </c>
    </row>
    <row r="495" spans="1:13" x14ac:dyDescent="0.45">
      <c r="A495">
        <v>10.7</v>
      </c>
      <c r="B495">
        <v>0</v>
      </c>
      <c r="C495">
        <v>2.6</v>
      </c>
      <c r="D495">
        <v>50.71</v>
      </c>
      <c r="E495">
        <v>17.73</v>
      </c>
      <c r="F495">
        <v>1.4809330000000001</v>
      </c>
      <c r="G495">
        <v>1.42</v>
      </c>
      <c r="H495">
        <v>3.7945793000000001</v>
      </c>
      <c r="K495">
        <v>5.1302664824261788</v>
      </c>
      <c r="L495">
        <v>4.2273361377751044</v>
      </c>
      <c r="M495">
        <v>4.1564932885584884</v>
      </c>
    </row>
    <row r="496" spans="1:13" ht="14.65" thickBot="1" x14ac:dyDescent="0.5">
      <c r="A496">
        <v>36</v>
      </c>
      <c r="B496">
        <v>1.7</v>
      </c>
      <c r="C496">
        <v>1.65</v>
      </c>
      <c r="D496">
        <v>71.510000000000005</v>
      </c>
      <c r="E496">
        <v>32.799999999999997</v>
      </c>
      <c r="F496">
        <v>0.68237203000000002</v>
      </c>
      <c r="G496">
        <v>18.09</v>
      </c>
      <c r="H496">
        <v>9.2808960000000003</v>
      </c>
      <c r="K496">
        <v>38.322464049447099</v>
      </c>
      <c r="L496" s="6">
        <v>35.85335950694229</v>
      </c>
      <c r="M496">
        <v>30.050990211630804</v>
      </c>
    </row>
  </sheetData>
  <conditionalFormatting sqref="P8:X16">
    <cfRule type="colorScale" priority="1">
      <colorScale>
        <cfvo type="min"/>
        <cfvo type="percentile" val="50"/>
        <cfvo type="max"/>
        <color rgb="FFF8696B"/>
        <color rgb="FFFCFCFF"/>
        <color rgb="FF5A8AC6"/>
      </colorScale>
    </cfRule>
  </conditionalFormatting>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4F055-10F6-4125-A95C-D211E39861F1}">
  <dimension ref="A1:I525"/>
  <sheetViews>
    <sheetView topLeftCell="A3" workbookViewId="0">
      <selection activeCell="A11" sqref="A11:F14"/>
    </sheetView>
  </sheetViews>
  <sheetFormatPr defaultRowHeight="14.25" x14ac:dyDescent="0.45"/>
  <cols>
    <col min="1" max="1" width="12.3984375" customWidth="1"/>
    <col min="2" max="2" width="6.73046875" customWidth="1"/>
    <col min="6" max="6" width="12.33203125" bestFit="1" customWidth="1"/>
  </cols>
  <sheetData>
    <row r="1" spans="1:9" x14ac:dyDescent="0.45">
      <c r="A1" t="s">
        <v>1548</v>
      </c>
    </row>
    <row r="2" spans="1:9" ht="14.65" thickBot="1" x14ac:dyDescent="0.5"/>
    <row r="3" spans="1:9" x14ac:dyDescent="0.45">
      <c r="A3" s="8" t="s">
        <v>1549</v>
      </c>
      <c r="B3" s="8"/>
    </row>
    <row r="4" spans="1:9" x14ac:dyDescent="0.45">
      <c r="A4" t="s">
        <v>1550</v>
      </c>
      <c r="B4">
        <v>0.83172200999630985</v>
      </c>
    </row>
    <row r="5" spans="1:9" x14ac:dyDescent="0.45">
      <c r="A5" t="s">
        <v>1551</v>
      </c>
      <c r="B5">
        <v>0.69176150191230179</v>
      </c>
    </row>
    <row r="6" spans="1:9" x14ac:dyDescent="0.45">
      <c r="A6" t="s">
        <v>1552</v>
      </c>
      <c r="B6">
        <v>0.68733096908557922</v>
      </c>
    </row>
    <row r="7" spans="1:9" x14ac:dyDescent="0.45">
      <c r="A7" t="s">
        <v>1553</v>
      </c>
      <c r="B7">
        <v>50.711246761532408</v>
      </c>
    </row>
    <row r="8" spans="1:9" ht="14.65" thickBot="1" x14ac:dyDescent="0.5">
      <c r="A8" s="6" t="s">
        <v>1554</v>
      </c>
      <c r="B8" s="6">
        <v>495</v>
      </c>
    </row>
    <row r="10" spans="1:9" ht="14.65" thickBot="1" x14ac:dyDescent="0.5">
      <c r="A10" t="s">
        <v>1555</v>
      </c>
    </row>
    <row r="11" spans="1:9" x14ac:dyDescent="0.45">
      <c r="A11" s="7"/>
      <c r="B11" s="7" t="s">
        <v>1560</v>
      </c>
      <c r="C11" s="7" t="s">
        <v>1561</v>
      </c>
      <c r="D11" s="7" t="s">
        <v>984</v>
      </c>
      <c r="E11" s="7" t="s">
        <v>627</v>
      </c>
      <c r="F11" s="7" t="s">
        <v>1562</v>
      </c>
    </row>
    <row r="12" spans="1:9" x14ac:dyDescent="0.45">
      <c r="A12" t="s">
        <v>1556</v>
      </c>
      <c r="B12">
        <v>7</v>
      </c>
      <c r="C12">
        <v>2810651.801777971</v>
      </c>
      <c r="D12">
        <v>401521.68596828158</v>
      </c>
      <c r="E12">
        <v>156.1350584606829</v>
      </c>
      <c r="F12">
        <v>3.9652279763941386E-120</v>
      </c>
    </row>
    <row r="13" spans="1:9" x14ac:dyDescent="0.45">
      <c r="A13" t="s">
        <v>1557</v>
      </c>
      <c r="B13">
        <v>487</v>
      </c>
      <c r="C13">
        <v>1252384.0769290982</v>
      </c>
      <c r="D13">
        <v>2571.6305481090312</v>
      </c>
    </row>
    <row r="14" spans="1:9" ht="14.65" thickBot="1" x14ac:dyDescent="0.5">
      <c r="A14" s="6" t="s">
        <v>1558</v>
      </c>
      <c r="B14" s="6">
        <v>494</v>
      </c>
      <c r="C14" s="6">
        <v>4063035.878707069</v>
      </c>
      <c r="D14" s="6"/>
      <c r="E14" s="6"/>
      <c r="F14" s="6"/>
    </row>
    <row r="15" spans="1:9" ht="14.65" thickBot="1" x14ac:dyDescent="0.5"/>
    <row r="16" spans="1:9" x14ac:dyDescent="0.45">
      <c r="A16" s="7"/>
      <c r="B16" s="7" t="s">
        <v>1563</v>
      </c>
      <c r="C16" s="7" t="s">
        <v>1553</v>
      </c>
      <c r="D16" s="7" t="s">
        <v>1564</v>
      </c>
      <c r="E16" s="7" t="s">
        <v>1565</v>
      </c>
      <c r="F16" s="7" t="s">
        <v>1566</v>
      </c>
      <c r="G16" s="7" t="s">
        <v>1567</v>
      </c>
      <c r="H16" s="7" t="s">
        <v>1568</v>
      </c>
      <c r="I16" s="7" t="s">
        <v>1569</v>
      </c>
    </row>
    <row r="17" spans="1:9" x14ac:dyDescent="0.45">
      <c r="A17" t="s">
        <v>1559</v>
      </c>
      <c r="B17">
        <v>-3.4096698896953415</v>
      </c>
      <c r="C17">
        <v>5.3054762617368798</v>
      </c>
      <c r="D17">
        <v>-0.64266989832484922</v>
      </c>
      <c r="E17">
        <v>0.52074075938583264</v>
      </c>
      <c r="F17">
        <v>-13.834119541880249</v>
      </c>
      <c r="G17">
        <v>7.0147797624895647</v>
      </c>
      <c r="H17">
        <v>-13.834119541880249</v>
      </c>
      <c r="I17">
        <v>7.0147797624895647</v>
      </c>
    </row>
    <row r="18" spans="1:9" x14ac:dyDescent="0.45">
      <c r="A18" t="s">
        <v>15</v>
      </c>
      <c r="B18">
        <v>9.7712806319607157</v>
      </c>
      <c r="C18">
        <v>0.34393637257446075</v>
      </c>
      <c r="D18">
        <v>28.410140395503753</v>
      </c>
      <c r="E18">
        <v>2.0235809644483691E-105</v>
      </c>
      <c r="F18">
        <v>9.0954982473866632</v>
      </c>
      <c r="G18">
        <v>10.447063016534768</v>
      </c>
      <c r="H18">
        <v>9.0954982473866632</v>
      </c>
      <c r="I18">
        <v>10.447063016534768</v>
      </c>
    </row>
    <row r="19" spans="1:9" x14ac:dyDescent="0.45">
      <c r="A19" t="s">
        <v>6</v>
      </c>
      <c r="B19">
        <v>-2.3460239980020408</v>
      </c>
      <c r="C19">
        <v>0.53586725511756317</v>
      </c>
      <c r="D19">
        <v>-4.3779946910309899</v>
      </c>
      <c r="E19">
        <v>1.4669380584732057E-5</v>
      </c>
      <c r="F19">
        <v>-3.3989212207291866</v>
      </c>
      <c r="G19">
        <v>-1.2931267752748947</v>
      </c>
      <c r="H19">
        <v>-3.3989212207291866</v>
      </c>
      <c r="I19">
        <v>-1.2931267752748947</v>
      </c>
    </row>
    <row r="20" spans="1:9" x14ac:dyDescent="0.45">
      <c r="A20" t="s">
        <v>3</v>
      </c>
      <c r="B20">
        <v>0.22380922018863331</v>
      </c>
      <c r="C20">
        <v>2.3161445692068482E-2</v>
      </c>
      <c r="D20">
        <v>9.6630073599108552</v>
      </c>
      <c r="E20">
        <v>2.5156386420148686E-20</v>
      </c>
      <c r="F20">
        <v>0.17830052076609743</v>
      </c>
      <c r="G20">
        <v>0.26931791961116919</v>
      </c>
      <c r="H20">
        <v>0.17830052076609743</v>
      </c>
      <c r="I20">
        <v>0.26931791961116919</v>
      </c>
    </row>
    <row r="21" spans="1:9" x14ac:dyDescent="0.45">
      <c r="A21" t="s">
        <v>11</v>
      </c>
      <c r="B21">
        <v>1.1295713808022729</v>
      </c>
      <c r="C21">
        <v>0.68544676313353248</v>
      </c>
      <c r="D21">
        <v>1.6479345173918636</v>
      </c>
      <c r="E21">
        <v>0.10001108620731626</v>
      </c>
      <c r="F21">
        <v>-0.21722670461586757</v>
      </c>
      <c r="G21">
        <v>2.4763694662204134</v>
      </c>
      <c r="H21">
        <v>-0.21722670461586757</v>
      </c>
      <c r="I21">
        <v>2.4763694662204134</v>
      </c>
    </row>
    <row r="22" spans="1:9" x14ac:dyDescent="0.45">
      <c r="A22" t="s">
        <v>4</v>
      </c>
      <c r="B22">
        <v>0.11500592764320554</v>
      </c>
      <c r="C22">
        <v>5.8894430610243687E-2</v>
      </c>
      <c r="D22">
        <v>1.9527470840884946</v>
      </c>
      <c r="E22">
        <v>5.142200848258649E-2</v>
      </c>
      <c r="F22">
        <v>-7.1262360512172607E-4</v>
      </c>
      <c r="G22">
        <v>0.2307244788915328</v>
      </c>
      <c r="H22">
        <v>-7.1262360512172607E-4</v>
      </c>
      <c r="I22">
        <v>0.2307244788915328</v>
      </c>
    </row>
    <row r="23" spans="1:9" x14ac:dyDescent="0.45">
      <c r="A23" t="s">
        <v>5</v>
      </c>
      <c r="B23">
        <v>-2.0565881867639524</v>
      </c>
      <c r="C23">
        <v>1.5788733144276332</v>
      </c>
      <c r="D23">
        <v>-1.3025669431302653</v>
      </c>
      <c r="E23">
        <v>0.19333827568184583</v>
      </c>
      <c r="F23">
        <v>-5.1588328414296853</v>
      </c>
      <c r="G23">
        <v>1.0456564679017806</v>
      </c>
      <c r="H23">
        <v>-5.1588328414296853</v>
      </c>
      <c r="I23">
        <v>1.0456564679017806</v>
      </c>
    </row>
    <row r="24" spans="1:9" ht="14.65" thickBot="1" x14ac:dyDescent="0.5">
      <c r="A24" s="6" t="s">
        <v>12</v>
      </c>
      <c r="B24" s="6">
        <v>7.464258993926119E-3</v>
      </c>
      <c r="C24" s="6">
        <v>2.5535948622026242E-2</v>
      </c>
      <c r="D24" s="6">
        <v>0.29230396349903998</v>
      </c>
      <c r="E24" s="6">
        <v>0.77017871438454555</v>
      </c>
      <c r="F24" s="6">
        <v>-4.2709975626802635E-2</v>
      </c>
      <c r="G24" s="6">
        <v>5.7638493614654868E-2</v>
      </c>
      <c r="H24" s="6">
        <v>-4.2709975626802635E-2</v>
      </c>
      <c r="I24" s="6">
        <v>5.7638493614654868E-2</v>
      </c>
    </row>
    <row r="28" spans="1:9" x14ac:dyDescent="0.45">
      <c r="A28" t="s">
        <v>1570</v>
      </c>
    </row>
    <row r="29" spans="1:9" ht="14.65" thickBot="1" x14ac:dyDescent="0.5"/>
    <row r="30" spans="1:9" x14ac:dyDescent="0.45">
      <c r="A30" s="7" t="s">
        <v>1571</v>
      </c>
      <c r="B30" s="7" t="s">
        <v>1572</v>
      </c>
      <c r="C30" s="7" t="s">
        <v>1573</v>
      </c>
    </row>
    <row r="31" spans="1:9" x14ac:dyDescent="0.45">
      <c r="A31">
        <v>1</v>
      </c>
      <c r="B31">
        <v>118.87800994273755</v>
      </c>
      <c r="C31">
        <v>19.82199005726244</v>
      </c>
    </row>
    <row r="32" spans="1:9" x14ac:dyDescent="0.45">
      <c r="A32">
        <v>2</v>
      </c>
      <c r="B32">
        <v>16.864971200937209</v>
      </c>
      <c r="C32">
        <v>-6.0649712009372081</v>
      </c>
    </row>
    <row r="33" spans="1:3" x14ac:dyDescent="0.45">
      <c r="A33">
        <v>3</v>
      </c>
      <c r="B33">
        <v>67.182151668165332</v>
      </c>
      <c r="C33">
        <v>34.917848331834662</v>
      </c>
    </row>
    <row r="34" spans="1:3" x14ac:dyDescent="0.45">
      <c r="A34">
        <v>4</v>
      </c>
      <c r="B34">
        <v>118.18851983722878</v>
      </c>
      <c r="C34">
        <v>63.211480162771224</v>
      </c>
    </row>
    <row r="35" spans="1:3" x14ac:dyDescent="0.45">
      <c r="A35">
        <v>5</v>
      </c>
      <c r="B35">
        <v>74.656705730890991</v>
      </c>
      <c r="C35">
        <v>24.143294269109006</v>
      </c>
    </row>
    <row r="36" spans="1:3" x14ac:dyDescent="0.45">
      <c r="A36">
        <v>6</v>
      </c>
      <c r="B36">
        <v>49.478639366593008</v>
      </c>
      <c r="C36">
        <v>3.0213606334069922</v>
      </c>
    </row>
    <row r="37" spans="1:3" x14ac:dyDescent="0.45">
      <c r="A37">
        <v>7</v>
      </c>
      <c r="B37">
        <v>20.993874484641744</v>
      </c>
      <c r="C37">
        <v>-14.793874484641744</v>
      </c>
    </row>
    <row r="38" spans="1:3" x14ac:dyDescent="0.45">
      <c r="A38">
        <v>8</v>
      </c>
      <c r="B38">
        <v>75.393812833448635</v>
      </c>
      <c r="C38">
        <v>19.206187166551359</v>
      </c>
    </row>
    <row r="39" spans="1:3" x14ac:dyDescent="0.45">
      <c r="A39">
        <v>9</v>
      </c>
      <c r="B39">
        <v>18.492289709960037</v>
      </c>
      <c r="C39">
        <v>-10.392289709960037</v>
      </c>
    </row>
    <row r="40" spans="1:3" x14ac:dyDescent="0.45">
      <c r="A40">
        <v>10</v>
      </c>
      <c r="B40">
        <v>26.011326013665247</v>
      </c>
      <c r="C40">
        <v>-14.811326013665248</v>
      </c>
    </row>
    <row r="41" spans="1:3" x14ac:dyDescent="0.45">
      <c r="A41">
        <v>11</v>
      </c>
      <c r="B41">
        <v>23.893257318664869</v>
      </c>
      <c r="C41">
        <v>-16.993257318664867</v>
      </c>
    </row>
    <row r="42" spans="1:3" x14ac:dyDescent="0.45">
      <c r="A42">
        <v>12</v>
      </c>
      <c r="B42">
        <v>63.966628594037665</v>
      </c>
      <c r="C42">
        <v>-4.7666285940376625</v>
      </c>
    </row>
    <row r="43" spans="1:3" x14ac:dyDescent="0.45">
      <c r="A43">
        <v>13</v>
      </c>
      <c r="B43">
        <v>26.364702515218564</v>
      </c>
      <c r="C43">
        <v>-15.964702515218564</v>
      </c>
    </row>
    <row r="44" spans="1:3" x14ac:dyDescent="0.45">
      <c r="A44">
        <v>14</v>
      </c>
      <c r="B44">
        <v>-12.442646324184976</v>
      </c>
      <c r="C44">
        <v>45.842646324184976</v>
      </c>
    </row>
    <row r="45" spans="1:3" x14ac:dyDescent="0.45">
      <c r="A45">
        <v>15</v>
      </c>
      <c r="B45">
        <v>25.695820885668599</v>
      </c>
      <c r="C45">
        <v>-3.6958208856685992</v>
      </c>
    </row>
    <row r="46" spans="1:3" x14ac:dyDescent="0.45">
      <c r="A46">
        <v>16</v>
      </c>
      <c r="B46">
        <v>24.910468006182967</v>
      </c>
      <c r="C46">
        <v>9.6895319938170346</v>
      </c>
    </row>
    <row r="47" spans="1:3" x14ac:dyDescent="0.45">
      <c r="A47">
        <v>17</v>
      </c>
      <c r="B47">
        <v>24.574759411139212</v>
      </c>
      <c r="C47">
        <v>-13.674759411139211</v>
      </c>
    </row>
    <row r="48" spans="1:3" x14ac:dyDescent="0.45">
      <c r="A48">
        <v>18</v>
      </c>
      <c r="B48">
        <v>6.2452798119412547</v>
      </c>
      <c r="C48">
        <v>1.6547201880587457</v>
      </c>
    </row>
    <row r="49" spans="1:3" x14ac:dyDescent="0.45">
      <c r="A49">
        <v>19</v>
      </c>
      <c r="B49">
        <v>20.301058847804779</v>
      </c>
      <c r="C49">
        <v>-8.5010588478047779</v>
      </c>
    </row>
    <row r="50" spans="1:3" x14ac:dyDescent="0.45">
      <c r="A50">
        <v>20</v>
      </c>
      <c r="B50">
        <v>26.383081602780411</v>
      </c>
      <c r="C50">
        <v>-14.383081602780411</v>
      </c>
    </row>
    <row r="51" spans="1:3" x14ac:dyDescent="0.45">
      <c r="A51">
        <v>21</v>
      </c>
      <c r="B51">
        <v>41.01481176886216</v>
      </c>
      <c r="C51">
        <v>-14.81481176886216</v>
      </c>
    </row>
    <row r="52" spans="1:3" x14ac:dyDescent="0.45">
      <c r="A52">
        <v>22</v>
      </c>
      <c r="B52">
        <v>64.705198979726688</v>
      </c>
      <c r="C52">
        <v>-45.905198979726691</v>
      </c>
    </row>
    <row r="53" spans="1:3" x14ac:dyDescent="0.45">
      <c r="A53">
        <v>23</v>
      </c>
      <c r="B53">
        <v>18.968655779321786</v>
      </c>
      <c r="C53">
        <v>-11.368655779321786</v>
      </c>
    </row>
    <row r="54" spans="1:3" x14ac:dyDescent="0.45">
      <c r="A54">
        <v>24</v>
      </c>
      <c r="B54">
        <v>-81.670826415084406</v>
      </c>
      <c r="C54">
        <v>138.37082641508442</v>
      </c>
    </row>
    <row r="55" spans="1:3" x14ac:dyDescent="0.45">
      <c r="A55">
        <v>25</v>
      </c>
      <c r="B55">
        <v>39.420226312006605</v>
      </c>
      <c r="C55">
        <v>-25.820226312006604</v>
      </c>
    </row>
    <row r="56" spans="1:3" x14ac:dyDescent="0.45">
      <c r="A56">
        <v>26</v>
      </c>
      <c r="B56">
        <v>11.586229092076564</v>
      </c>
      <c r="C56">
        <v>-2.8862290920765652</v>
      </c>
    </row>
    <row r="57" spans="1:3" x14ac:dyDescent="0.45">
      <c r="A57">
        <v>27</v>
      </c>
      <c r="B57">
        <v>5.5276916920082533</v>
      </c>
      <c r="C57">
        <v>29.272308307991743</v>
      </c>
    </row>
    <row r="58" spans="1:3" x14ac:dyDescent="0.45">
      <c r="A58">
        <v>28</v>
      </c>
      <c r="B58">
        <v>515.39542780785473</v>
      </c>
      <c r="C58">
        <v>218.40457219214522</v>
      </c>
    </row>
    <row r="59" spans="1:3" x14ac:dyDescent="0.45">
      <c r="A59">
        <v>29</v>
      </c>
      <c r="B59">
        <v>500.33330445838578</v>
      </c>
      <c r="C59">
        <v>228.16669554161422</v>
      </c>
    </row>
    <row r="60" spans="1:3" x14ac:dyDescent="0.45">
      <c r="A60">
        <v>30</v>
      </c>
      <c r="B60">
        <v>103.70469761244838</v>
      </c>
      <c r="C60">
        <v>23.295302387551615</v>
      </c>
    </row>
    <row r="61" spans="1:3" x14ac:dyDescent="0.45">
      <c r="A61">
        <v>31</v>
      </c>
      <c r="B61">
        <v>480.38806674080683</v>
      </c>
      <c r="C61">
        <v>205.51193325919314</v>
      </c>
    </row>
    <row r="62" spans="1:3" x14ac:dyDescent="0.45">
      <c r="A62">
        <v>32</v>
      </c>
      <c r="B62">
        <v>22.870625862507644</v>
      </c>
      <c r="C62">
        <v>-9.970625862507644</v>
      </c>
    </row>
    <row r="63" spans="1:3" x14ac:dyDescent="0.45">
      <c r="A63">
        <v>33</v>
      </c>
      <c r="B63">
        <v>55.208748918777388</v>
      </c>
      <c r="C63">
        <v>-30.608748918777387</v>
      </c>
    </row>
    <row r="64" spans="1:3" x14ac:dyDescent="0.45">
      <c r="A64">
        <v>34</v>
      </c>
      <c r="B64">
        <v>49.034012027668901</v>
      </c>
      <c r="C64">
        <v>-17.334012027668901</v>
      </c>
    </row>
    <row r="65" spans="1:3" x14ac:dyDescent="0.45">
      <c r="A65">
        <v>35</v>
      </c>
      <c r="B65">
        <v>10.803647357807893</v>
      </c>
      <c r="C65">
        <v>69.596352642192116</v>
      </c>
    </row>
    <row r="66" spans="1:3" x14ac:dyDescent="0.45">
      <c r="A66">
        <v>36</v>
      </c>
      <c r="B66">
        <v>11.398607247204875</v>
      </c>
      <c r="C66">
        <v>43.001392752795127</v>
      </c>
    </row>
    <row r="67" spans="1:3" x14ac:dyDescent="0.45">
      <c r="A67">
        <v>37</v>
      </c>
      <c r="B67">
        <v>70.830744491734222</v>
      </c>
      <c r="C67">
        <v>-11.63074449173422</v>
      </c>
    </row>
    <row r="68" spans="1:3" x14ac:dyDescent="0.45">
      <c r="A68">
        <v>38</v>
      </c>
      <c r="B68">
        <v>28.98439645419905</v>
      </c>
      <c r="C68">
        <v>-15.08439645419905</v>
      </c>
    </row>
    <row r="69" spans="1:3" x14ac:dyDescent="0.45">
      <c r="A69">
        <v>39</v>
      </c>
      <c r="B69">
        <v>7.967247879285142</v>
      </c>
      <c r="C69">
        <v>15.532752120714857</v>
      </c>
    </row>
    <row r="70" spans="1:3" x14ac:dyDescent="0.45">
      <c r="A70">
        <v>40</v>
      </c>
      <c r="B70">
        <v>21.742414358475546</v>
      </c>
      <c r="C70">
        <v>-1.1424143584755448</v>
      </c>
    </row>
    <row r="71" spans="1:3" x14ac:dyDescent="0.45">
      <c r="A71">
        <v>41</v>
      </c>
      <c r="B71">
        <v>21.78162151734141</v>
      </c>
      <c r="C71">
        <v>-4.6816215173414086</v>
      </c>
    </row>
    <row r="72" spans="1:3" x14ac:dyDescent="0.45">
      <c r="A72">
        <v>42</v>
      </c>
      <c r="B72">
        <v>147.3833240646714</v>
      </c>
      <c r="C72">
        <v>-19.283324064671405</v>
      </c>
    </row>
    <row r="73" spans="1:3" x14ac:dyDescent="0.45">
      <c r="A73">
        <v>43</v>
      </c>
      <c r="B73">
        <v>32.9047883641704</v>
      </c>
      <c r="C73">
        <v>-5.9047883641704004</v>
      </c>
    </row>
    <row r="74" spans="1:3" x14ac:dyDescent="0.45">
      <c r="A74">
        <v>44</v>
      </c>
      <c r="B74">
        <v>51.853965669516725</v>
      </c>
      <c r="C74">
        <v>-19.753965669516724</v>
      </c>
    </row>
    <row r="75" spans="1:3" x14ac:dyDescent="0.45">
      <c r="A75">
        <v>45</v>
      </c>
      <c r="B75">
        <v>33.515180024551057</v>
      </c>
      <c r="C75">
        <v>-1.7151800245510564</v>
      </c>
    </row>
    <row r="76" spans="1:3" x14ac:dyDescent="0.45">
      <c r="A76">
        <v>46</v>
      </c>
      <c r="B76">
        <v>26.420945725576843</v>
      </c>
      <c r="C76">
        <v>-10.720945725576843</v>
      </c>
    </row>
    <row r="77" spans="1:3" x14ac:dyDescent="0.45">
      <c r="A77">
        <v>47</v>
      </c>
      <c r="B77">
        <v>51.699478621356398</v>
      </c>
      <c r="C77">
        <v>-38.499478621356403</v>
      </c>
    </row>
    <row r="78" spans="1:3" x14ac:dyDescent="0.45">
      <c r="A78">
        <v>48</v>
      </c>
      <c r="B78">
        <v>14.902565526922555</v>
      </c>
      <c r="C78">
        <v>46.297434473077445</v>
      </c>
    </row>
    <row r="79" spans="1:3" x14ac:dyDescent="0.45">
      <c r="A79">
        <v>49</v>
      </c>
      <c r="B79">
        <v>38.958610904639912</v>
      </c>
      <c r="C79">
        <v>-3.8586109046399102</v>
      </c>
    </row>
    <row r="80" spans="1:3" x14ac:dyDescent="0.45">
      <c r="A80">
        <v>50</v>
      </c>
      <c r="B80">
        <v>16.020725437482852</v>
      </c>
      <c r="C80">
        <v>-0.92072543748285263</v>
      </c>
    </row>
    <row r="81" spans="1:3" x14ac:dyDescent="0.45">
      <c r="A81">
        <v>51</v>
      </c>
      <c r="B81">
        <v>10.207454014681623</v>
      </c>
      <c r="C81">
        <v>-4.0074540146816231</v>
      </c>
    </row>
    <row r="82" spans="1:3" x14ac:dyDescent="0.45">
      <c r="A82">
        <v>52</v>
      </c>
      <c r="B82">
        <v>788.21011997483299</v>
      </c>
      <c r="C82">
        <v>21.289880025167008</v>
      </c>
    </row>
    <row r="83" spans="1:3" x14ac:dyDescent="0.45">
      <c r="A83">
        <v>53</v>
      </c>
      <c r="B83">
        <v>46.690827287889825</v>
      </c>
      <c r="C83">
        <v>4.6091727121101727</v>
      </c>
    </row>
    <row r="84" spans="1:3" x14ac:dyDescent="0.45">
      <c r="A84">
        <v>54</v>
      </c>
      <c r="B84">
        <v>36.015958792934441</v>
      </c>
      <c r="C84">
        <v>-11.115958792934443</v>
      </c>
    </row>
    <row r="85" spans="1:3" x14ac:dyDescent="0.45">
      <c r="A85">
        <v>55</v>
      </c>
      <c r="B85">
        <v>25.168005860052645</v>
      </c>
      <c r="C85">
        <v>-1.5680058600526436</v>
      </c>
    </row>
    <row r="86" spans="1:3" x14ac:dyDescent="0.45">
      <c r="A86">
        <v>56</v>
      </c>
      <c r="B86">
        <v>13.37115198616263</v>
      </c>
      <c r="C86">
        <v>-1.37115198616263</v>
      </c>
    </row>
    <row r="87" spans="1:3" x14ac:dyDescent="0.45">
      <c r="A87">
        <v>57</v>
      </c>
      <c r="B87">
        <v>-5.9138813820536118</v>
      </c>
      <c r="C87">
        <v>10.613881382053613</v>
      </c>
    </row>
    <row r="88" spans="1:3" x14ac:dyDescent="0.45">
      <c r="A88">
        <v>58</v>
      </c>
      <c r="B88">
        <v>470.8794329360058</v>
      </c>
      <c r="C88">
        <v>-244.17943293600581</v>
      </c>
    </row>
    <row r="89" spans="1:3" x14ac:dyDescent="0.45">
      <c r="A89">
        <v>59</v>
      </c>
      <c r="B89">
        <v>33.717473845177743</v>
      </c>
      <c r="C89">
        <v>-9.4174738451777422</v>
      </c>
    </row>
    <row r="90" spans="1:3" x14ac:dyDescent="0.45">
      <c r="A90">
        <v>60</v>
      </c>
      <c r="B90">
        <v>42.624456143648494</v>
      </c>
      <c r="C90">
        <v>7.6755438563515028</v>
      </c>
    </row>
    <row r="91" spans="1:3" x14ac:dyDescent="0.45">
      <c r="A91">
        <v>61</v>
      </c>
      <c r="B91">
        <v>81.434156609931065</v>
      </c>
      <c r="C91">
        <v>-61.534156609931067</v>
      </c>
    </row>
    <row r="92" spans="1:3" x14ac:dyDescent="0.45">
      <c r="A92">
        <v>62</v>
      </c>
      <c r="B92">
        <v>35.071151377535294</v>
      </c>
      <c r="C92">
        <v>-13.171151377535296</v>
      </c>
    </row>
    <row r="93" spans="1:3" x14ac:dyDescent="0.45">
      <c r="A93">
        <v>63</v>
      </c>
      <c r="B93">
        <v>23.003762791972779</v>
      </c>
      <c r="C93">
        <v>-12.903762791972779</v>
      </c>
    </row>
    <row r="94" spans="1:3" x14ac:dyDescent="0.45">
      <c r="A94">
        <v>64</v>
      </c>
      <c r="B94">
        <v>38.612299358620547</v>
      </c>
      <c r="C94">
        <v>-5.6122993586205467</v>
      </c>
    </row>
    <row r="95" spans="1:3" x14ac:dyDescent="0.45">
      <c r="A95">
        <v>65</v>
      </c>
      <c r="B95">
        <v>17.975040767549828</v>
      </c>
      <c r="C95">
        <v>-4.1750407675498273</v>
      </c>
    </row>
    <row r="96" spans="1:3" x14ac:dyDescent="0.45">
      <c r="A96">
        <v>66</v>
      </c>
      <c r="B96">
        <v>1.9555818774093032</v>
      </c>
      <c r="C96">
        <v>319.54441812259068</v>
      </c>
    </row>
    <row r="97" spans="1:3" x14ac:dyDescent="0.45">
      <c r="A97">
        <v>67</v>
      </c>
      <c r="B97">
        <v>29.947994856498706</v>
      </c>
      <c r="C97">
        <v>5.7520051435012967</v>
      </c>
    </row>
    <row r="98" spans="1:3" x14ac:dyDescent="0.45">
      <c r="A98">
        <v>68</v>
      </c>
      <c r="B98">
        <v>2.3326054297900973</v>
      </c>
      <c r="C98">
        <v>39.767394570209902</v>
      </c>
    </row>
    <row r="99" spans="1:3" x14ac:dyDescent="0.45">
      <c r="A99">
        <v>69</v>
      </c>
      <c r="B99">
        <v>53.901049326226286</v>
      </c>
      <c r="C99">
        <v>-3.001049326226287</v>
      </c>
    </row>
    <row r="100" spans="1:3" x14ac:dyDescent="0.45">
      <c r="A100">
        <v>70</v>
      </c>
      <c r="B100">
        <v>21.664596806175609</v>
      </c>
      <c r="C100">
        <v>239.73540319382437</v>
      </c>
    </row>
    <row r="101" spans="1:3" x14ac:dyDescent="0.45">
      <c r="A101">
        <v>71</v>
      </c>
      <c r="B101">
        <v>27.640861913664359</v>
      </c>
      <c r="C101">
        <v>-6.8408619136643587</v>
      </c>
    </row>
    <row r="102" spans="1:3" x14ac:dyDescent="0.45">
      <c r="A102">
        <v>72</v>
      </c>
      <c r="B102">
        <v>110.04016417037209</v>
      </c>
      <c r="C102">
        <v>-40.840164170372091</v>
      </c>
    </row>
    <row r="103" spans="1:3" x14ac:dyDescent="0.45">
      <c r="A103">
        <v>73</v>
      </c>
      <c r="B103">
        <v>101.17526935415007</v>
      </c>
      <c r="C103">
        <v>-15.275269354150069</v>
      </c>
    </row>
    <row r="104" spans="1:3" x14ac:dyDescent="0.45">
      <c r="A104">
        <v>74</v>
      </c>
      <c r="B104">
        <v>4.0746982457630665</v>
      </c>
      <c r="C104">
        <v>1.3253017542369339</v>
      </c>
    </row>
    <row r="105" spans="1:3" x14ac:dyDescent="0.45">
      <c r="A105">
        <v>75</v>
      </c>
      <c r="B105">
        <v>163.80932656929679</v>
      </c>
      <c r="C105">
        <v>41.790673430703208</v>
      </c>
    </row>
    <row r="106" spans="1:3" x14ac:dyDescent="0.45">
      <c r="A106">
        <v>76</v>
      </c>
      <c r="B106">
        <v>16.613302111936644</v>
      </c>
      <c r="C106">
        <v>-5.0133021119366443</v>
      </c>
    </row>
    <row r="107" spans="1:3" x14ac:dyDescent="0.45">
      <c r="A107">
        <v>77</v>
      </c>
      <c r="B107">
        <v>33.57939177520025</v>
      </c>
      <c r="C107">
        <v>-15.779391775200249</v>
      </c>
    </row>
    <row r="108" spans="1:3" x14ac:dyDescent="0.45">
      <c r="A108">
        <v>78</v>
      </c>
      <c r="B108">
        <v>25.594261269935437</v>
      </c>
      <c r="C108">
        <v>10.505738730064564</v>
      </c>
    </row>
    <row r="109" spans="1:3" x14ac:dyDescent="0.45">
      <c r="A109">
        <v>79</v>
      </c>
      <c r="B109">
        <v>70.966491336763085</v>
      </c>
      <c r="C109">
        <v>-63.866491336763083</v>
      </c>
    </row>
    <row r="110" spans="1:3" x14ac:dyDescent="0.45">
      <c r="A110">
        <v>80</v>
      </c>
      <c r="B110">
        <v>59.7525089913158</v>
      </c>
      <c r="C110">
        <v>42.7474910086842</v>
      </c>
    </row>
    <row r="111" spans="1:3" x14ac:dyDescent="0.45">
      <c r="A111">
        <v>81</v>
      </c>
      <c r="B111">
        <v>110.62702615173883</v>
      </c>
      <c r="C111">
        <v>-17.827026151738835</v>
      </c>
    </row>
    <row r="112" spans="1:3" x14ac:dyDescent="0.45">
      <c r="A112">
        <v>82</v>
      </c>
      <c r="B112">
        <v>21.64924498523375</v>
      </c>
      <c r="C112">
        <v>-16.14924498523375</v>
      </c>
    </row>
    <row r="113" spans="1:3" x14ac:dyDescent="0.45">
      <c r="A113">
        <v>83</v>
      </c>
      <c r="B113">
        <v>17.192323426533438</v>
      </c>
      <c r="C113">
        <v>-4.2923234265334376</v>
      </c>
    </row>
    <row r="114" spans="1:3" x14ac:dyDescent="0.45">
      <c r="A114">
        <v>84</v>
      </c>
      <c r="B114">
        <v>14.500624731889532</v>
      </c>
      <c r="C114">
        <v>-0.30062473188953298</v>
      </c>
    </row>
    <row r="115" spans="1:3" x14ac:dyDescent="0.45">
      <c r="A115">
        <v>85</v>
      </c>
      <c r="B115">
        <v>22.445841080629375</v>
      </c>
      <c r="C115">
        <v>-11.645841080629374</v>
      </c>
    </row>
    <row r="116" spans="1:3" x14ac:dyDescent="0.45">
      <c r="A116">
        <v>86</v>
      </c>
      <c r="B116">
        <v>18.480075297320695</v>
      </c>
      <c r="C116">
        <v>-7.5800752973206951</v>
      </c>
    </row>
    <row r="117" spans="1:3" x14ac:dyDescent="0.45">
      <c r="A117">
        <v>87</v>
      </c>
      <c r="B117">
        <v>14.493229958838487</v>
      </c>
      <c r="C117">
        <v>-0.99322995883848719</v>
      </c>
    </row>
    <row r="118" spans="1:3" x14ac:dyDescent="0.45">
      <c r="A118">
        <v>88</v>
      </c>
      <c r="B118">
        <v>8.8580476020264207</v>
      </c>
      <c r="C118">
        <v>38.741952397973577</v>
      </c>
    </row>
    <row r="119" spans="1:3" x14ac:dyDescent="0.45">
      <c r="A119">
        <v>89</v>
      </c>
      <c r="B119">
        <v>16.425442564316274</v>
      </c>
      <c r="C119">
        <v>4.074557435683726</v>
      </c>
    </row>
    <row r="120" spans="1:3" x14ac:dyDescent="0.45">
      <c r="A120">
        <v>90</v>
      </c>
      <c r="B120">
        <v>17.422347965264731</v>
      </c>
      <c r="C120">
        <v>-5.6223479652647299</v>
      </c>
    </row>
    <row r="121" spans="1:3" x14ac:dyDescent="0.45">
      <c r="A121">
        <v>91</v>
      </c>
      <c r="B121">
        <v>48.907113380056174</v>
      </c>
      <c r="C121">
        <v>0.29288661994382892</v>
      </c>
    </row>
    <row r="122" spans="1:3" x14ac:dyDescent="0.45">
      <c r="A122">
        <v>92</v>
      </c>
      <c r="B122">
        <v>106.0936061380318</v>
      </c>
      <c r="C122">
        <v>-14.293606138031805</v>
      </c>
    </row>
    <row r="123" spans="1:3" x14ac:dyDescent="0.45">
      <c r="A123">
        <v>93</v>
      </c>
      <c r="B123">
        <v>32.476583219726344</v>
      </c>
      <c r="C123">
        <v>-19.476583219726344</v>
      </c>
    </row>
    <row r="124" spans="1:3" x14ac:dyDescent="0.45">
      <c r="A124">
        <v>94</v>
      </c>
      <c r="B124">
        <v>22.117814774525137</v>
      </c>
      <c r="C124">
        <v>-7.7178147745251362</v>
      </c>
    </row>
    <row r="125" spans="1:3" x14ac:dyDescent="0.45">
      <c r="A125">
        <v>95</v>
      </c>
      <c r="B125">
        <v>29.995767601876043</v>
      </c>
      <c r="C125">
        <v>-9.5957676018760445</v>
      </c>
    </row>
    <row r="126" spans="1:3" x14ac:dyDescent="0.45">
      <c r="A126">
        <v>96</v>
      </c>
      <c r="B126">
        <v>67.54085601455759</v>
      </c>
      <c r="C126">
        <v>7.3591439854424152</v>
      </c>
    </row>
    <row r="127" spans="1:3" x14ac:dyDescent="0.45">
      <c r="A127">
        <v>97</v>
      </c>
      <c r="B127">
        <v>34.780049767599159</v>
      </c>
      <c r="C127">
        <v>-16.780049767599159</v>
      </c>
    </row>
    <row r="128" spans="1:3" x14ac:dyDescent="0.45">
      <c r="A128">
        <v>98</v>
      </c>
      <c r="B128">
        <v>17.973585961172322</v>
      </c>
      <c r="C128">
        <v>-6.5735859611723217</v>
      </c>
    </row>
    <row r="129" spans="1:3" x14ac:dyDescent="0.45">
      <c r="A129">
        <v>99</v>
      </c>
      <c r="B129">
        <v>28.816943878298307</v>
      </c>
      <c r="C129">
        <v>-10.616943878298308</v>
      </c>
    </row>
    <row r="130" spans="1:3" x14ac:dyDescent="0.45">
      <c r="A130">
        <v>100</v>
      </c>
      <c r="B130">
        <v>30.058107948354806</v>
      </c>
      <c r="C130">
        <v>-8.9581079483548045</v>
      </c>
    </row>
    <row r="131" spans="1:3" x14ac:dyDescent="0.45">
      <c r="A131">
        <v>101</v>
      </c>
      <c r="B131">
        <v>4.9547779466655779</v>
      </c>
      <c r="C131">
        <v>4.2452220533344214</v>
      </c>
    </row>
    <row r="132" spans="1:3" x14ac:dyDescent="0.45">
      <c r="A132">
        <v>102</v>
      </c>
      <c r="B132">
        <v>14.619221706474368</v>
      </c>
      <c r="C132">
        <v>55.180778293525627</v>
      </c>
    </row>
    <row r="133" spans="1:3" x14ac:dyDescent="0.45">
      <c r="A133">
        <v>103</v>
      </c>
      <c r="B133">
        <v>159.45611836576285</v>
      </c>
      <c r="C133">
        <v>-72.756118365762845</v>
      </c>
    </row>
    <row r="134" spans="1:3" x14ac:dyDescent="0.45">
      <c r="A134">
        <v>104</v>
      </c>
      <c r="B134">
        <v>28.001521554578098</v>
      </c>
      <c r="C134">
        <v>-25.401521554578096</v>
      </c>
    </row>
    <row r="135" spans="1:3" x14ac:dyDescent="0.45">
      <c r="A135">
        <v>105</v>
      </c>
      <c r="B135">
        <v>289.78467477897738</v>
      </c>
      <c r="C135">
        <v>-70.784674778977376</v>
      </c>
    </row>
    <row r="136" spans="1:3" x14ac:dyDescent="0.45">
      <c r="A136">
        <v>106</v>
      </c>
      <c r="B136">
        <v>66.360393678896386</v>
      </c>
      <c r="C136">
        <v>-58.660393678896384</v>
      </c>
    </row>
    <row r="137" spans="1:3" x14ac:dyDescent="0.45">
      <c r="A137">
        <v>107</v>
      </c>
      <c r="B137">
        <v>9.2074008622599877</v>
      </c>
      <c r="C137">
        <v>59.192599137740018</v>
      </c>
    </row>
    <row r="138" spans="1:3" x14ac:dyDescent="0.45">
      <c r="A138">
        <v>108</v>
      </c>
      <c r="B138">
        <v>11.795111441038465</v>
      </c>
      <c r="C138">
        <v>4.8885589615359493E-3</v>
      </c>
    </row>
    <row r="139" spans="1:3" x14ac:dyDescent="0.45">
      <c r="A139">
        <v>109</v>
      </c>
      <c r="B139">
        <v>25.876994543045988</v>
      </c>
      <c r="C139">
        <v>21.823005456954014</v>
      </c>
    </row>
    <row r="140" spans="1:3" x14ac:dyDescent="0.45">
      <c r="A140">
        <v>110</v>
      </c>
      <c r="B140">
        <v>51.626549985759823</v>
      </c>
      <c r="C140">
        <v>-41.526549985759821</v>
      </c>
    </row>
    <row r="141" spans="1:3" x14ac:dyDescent="0.45">
      <c r="A141">
        <v>111</v>
      </c>
      <c r="B141">
        <v>4.2878733912520337</v>
      </c>
      <c r="C141">
        <v>7.6121266087479666</v>
      </c>
    </row>
    <row r="142" spans="1:3" x14ac:dyDescent="0.45">
      <c r="A142">
        <v>112</v>
      </c>
      <c r="B142">
        <v>35.28923214359714</v>
      </c>
      <c r="C142">
        <v>-18.58923214359714</v>
      </c>
    </row>
    <row r="143" spans="1:3" x14ac:dyDescent="0.45">
      <c r="A143">
        <v>113</v>
      </c>
      <c r="B143">
        <v>153.62350429210323</v>
      </c>
      <c r="C143">
        <v>45.776495707896771</v>
      </c>
    </row>
    <row r="144" spans="1:3" x14ac:dyDescent="0.45">
      <c r="A144">
        <v>114</v>
      </c>
      <c r="B144">
        <v>20.463762603260726</v>
      </c>
      <c r="C144">
        <v>172.23623739673926</v>
      </c>
    </row>
    <row r="145" spans="1:3" x14ac:dyDescent="0.45">
      <c r="A145">
        <v>115</v>
      </c>
      <c r="B145">
        <v>9.182238915212514E-3</v>
      </c>
      <c r="C145">
        <v>21.990817761084788</v>
      </c>
    </row>
    <row r="146" spans="1:3" x14ac:dyDescent="0.45">
      <c r="A146">
        <v>116</v>
      </c>
      <c r="B146">
        <v>31.651736048514547</v>
      </c>
      <c r="C146">
        <v>-18.451736048514547</v>
      </c>
    </row>
    <row r="147" spans="1:3" x14ac:dyDescent="0.45">
      <c r="A147">
        <v>117</v>
      </c>
      <c r="B147">
        <v>44.119389437500047</v>
      </c>
      <c r="C147">
        <v>10.280610562499952</v>
      </c>
    </row>
    <row r="148" spans="1:3" x14ac:dyDescent="0.45">
      <c r="A148">
        <v>118</v>
      </c>
      <c r="B148">
        <v>20.088890748249348</v>
      </c>
      <c r="C148">
        <v>-8.1888907482493476</v>
      </c>
    </row>
    <row r="149" spans="1:3" x14ac:dyDescent="0.45">
      <c r="A149">
        <v>119</v>
      </c>
      <c r="B149">
        <v>90.336059220541713</v>
      </c>
      <c r="C149">
        <v>99.563940779458292</v>
      </c>
    </row>
    <row r="150" spans="1:3" x14ac:dyDescent="0.45">
      <c r="A150">
        <v>120</v>
      </c>
      <c r="B150">
        <v>40.73162602162585</v>
      </c>
      <c r="C150">
        <v>4.3683739783741515</v>
      </c>
    </row>
    <row r="151" spans="1:3" x14ac:dyDescent="0.45">
      <c r="A151">
        <v>121</v>
      </c>
      <c r="B151">
        <v>51.09216796926016</v>
      </c>
      <c r="C151">
        <v>10.507832030739841</v>
      </c>
    </row>
    <row r="152" spans="1:3" x14ac:dyDescent="0.45">
      <c r="A152">
        <v>122</v>
      </c>
      <c r="B152">
        <v>275.17448675663894</v>
      </c>
      <c r="C152">
        <v>-88.674486756638942</v>
      </c>
    </row>
    <row r="153" spans="1:3" x14ac:dyDescent="0.45">
      <c r="A153">
        <v>123</v>
      </c>
      <c r="B153">
        <v>11.951514892745141</v>
      </c>
      <c r="C153">
        <v>4.3484851072548594</v>
      </c>
    </row>
    <row r="154" spans="1:3" x14ac:dyDescent="0.45">
      <c r="A154">
        <v>124</v>
      </c>
      <c r="B154">
        <v>13.128543509212275</v>
      </c>
      <c r="C154">
        <v>1.2714564907877257</v>
      </c>
    </row>
    <row r="155" spans="1:3" x14ac:dyDescent="0.45">
      <c r="A155">
        <v>125</v>
      </c>
      <c r="B155">
        <v>98.927562680778507</v>
      </c>
      <c r="C155">
        <v>-76.927562680778507</v>
      </c>
    </row>
    <row r="156" spans="1:3" x14ac:dyDescent="0.45">
      <c r="A156">
        <v>126</v>
      </c>
      <c r="B156">
        <v>68.353131484118975</v>
      </c>
      <c r="C156">
        <v>-2.8531314841189754</v>
      </c>
    </row>
    <row r="157" spans="1:3" x14ac:dyDescent="0.45">
      <c r="A157">
        <v>127</v>
      </c>
      <c r="B157">
        <v>43.397349248176525</v>
      </c>
      <c r="C157">
        <v>-20.097349248176524</v>
      </c>
    </row>
    <row r="158" spans="1:3" x14ac:dyDescent="0.45">
      <c r="A158">
        <v>128</v>
      </c>
      <c r="B158">
        <v>59.595142390390983</v>
      </c>
      <c r="C158">
        <v>-17.89514239039098</v>
      </c>
    </row>
    <row r="159" spans="1:3" x14ac:dyDescent="0.45">
      <c r="A159">
        <v>129</v>
      </c>
      <c r="B159">
        <v>34.60451633887854</v>
      </c>
      <c r="C159">
        <v>-8.804516338878539</v>
      </c>
    </row>
    <row r="160" spans="1:3" x14ac:dyDescent="0.45">
      <c r="A160">
        <v>130</v>
      </c>
      <c r="B160">
        <v>80.003516834355736</v>
      </c>
      <c r="C160">
        <v>0.39648316564426977</v>
      </c>
    </row>
    <row r="161" spans="1:3" x14ac:dyDescent="0.45">
      <c r="A161">
        <v>131</v>
      </c>
      <c r="B161">
        <v>3.7172190147849711</v>
      </c>
      <c r="C161">
        <v>9.3827809852150281</v>
      </c>
    </row>
    <row r="162" spans="1:3" x14ac:dyDescent="0.45">
      <c r="A162">
        <v>132</v>
      </c>
      <c r="B162">
        <v>45.89282031244705</v>
      </c>
      <c r="C162">
        <v>-1.6928203124470471</v>
      </c>
    </row>
    <row r="163" spans="1:3" x14ac:dyDescent="0.45">
      <c r="A163">
        <v>133</v>
      </c>
      <c r="B163">
        <v>4.7921190528153232</v>
      </c>
      <c r="C163">
        <v>0.3078809471846764</v>
      </c>
    </row>
    <row r="164" spans="1:3" x14ac:dyDescent="0.45">
      <c r="A164">
        <v>134</v>
      </c>
      <c r="B164">
        <v>46.713753218172826</v>
      </c>
      <c r="C164">
        <v>0.58624678182717105</v>
      </c>
    </row>
    <row r="165" spans="1:3" x14ac:dyDescent="0.45">
      <c r="A165">
        <v>135</v>
      </c>
      <c r="B165">
        <v>41.724563226969288</v>
      </c>
      <c r="C165">
        <v>-13.024563226969288</v>
      </c>
    </row>
    <row r="166" spans="1:3" x14ac:dyDescent="0.45">
      <c r="A166">
        <v>136</v>
      </c>
      <c r="B166">
        <v>111.71136469925339</v>
      </c>
      <c r="C166">
        <v>-36.411364699253397</v>
      </c>
    </row>
    <row r="167" spans="1:3" x14ac:dyDescent="0.45">
      <c r="A167">
        <v>137</v>
      </c>
      <c r="B167">
        <v>17.786933355632382</v>
      </c>
      <c r="C167">
        <v>-0.38693335563238307</v>
      </c>
    </row>
    <row r="168" spans="1:3" x14ac:dyDescent="0.45">
      <c r="A168">
        <v>138</v>
      </c>
      <c r="B168">
        <v>56.558646277564158</v>
      </c>
      <c r="C168">
        <v>9.8413537224358478</v>
      </c>
    </row>
    <row r="169" spans="1:3" x14ac:dyDescent="0.45">
      <c r="A169">
        <v>139</v>
      </c>
      <c r="B169">
        <v>16.795726522110652</v>
      </c>
      <c r="C169">
        <v>-5.0957265221106525</v>
      </c>
    </row>
    <row r="170" spans="1:3" x14ac:dyDescent="0.45">
      <c r="A170">
        <v>140</v>
      </c>
      <c r="B170">
        <v>28.74820752397158</v>
      </c>
      <c r="C170">
        <v>-15.04820752397158</v>
      </c>
    </row>
    <row r="171" spans="1:3" x14ac:dyDescent="0.45">
      <c r="A171">
        <v>141</v>
      </c>
      <c r="B171">
        <v>57.791343362525588</v>
      </c>
      <c r="C171">
        <v>-5.5913433625255848</v>
      </c>
    </row>
    <row r="172" spans="1:3" x14ac:dyDescent="0.45">
      <c r="A172">
        <v>142</v>
      </c>
      <c r="B172">
        <v>75.15844075309829</v>
      </c>
      <c r="C172">
        <v>-36.758440753098292</v>
      </c>
    </row>
    <row r="173" spans="1:3" x14ac:dyDescent="0.45">
      <c r="A173">
        <v>143</v>
      </c>
      <c r="B173">
        <v>7.3461389271850317</v>
      </c>
      <c r="C173">
        <v>6.0538610728149687</v>
      </c>
    </row>
    <row r="174" spans="1:3" x14ac:dyDescent="0.45">
      <c r="A174">
        <v>144</v>
      </c>
      <c r="B174">
        <v>60.492460794976722</v>
      </c>
      <c r="C174">
        <v>-41.192460794976725</v>
      </c>
    </row>
    <row r="175" spans="1:3" x14ac:dyDescent="0.45">
      <c r="A175">
        <v>145</v>
      </c>
      <c r="B175">
        <v>34.925951391907965</v>
      </c>
      <c r="C175">
        <v>-13.525951391907967</v>
      </c>
    </row>
    <row r="176" spans="1:3" x14ac:dyDescent="0.45">
      <c r="A176">
        <v>146</v>
      </c>
      <c r="B176">
        <v>0.42560860558948993</v>
      </c>
      <c r="C176">
        <v>26.97439139441051</v>
      </c>
    </row>
    <row r="177" spans="1:3" x14ac:dyDescent="0.45">
      <c r="A177">
        <v>147</v>
      </c>
      <c r="B177">
        <v>20.944437032867167</v>
      </c>
      <c r="C177">
        <v>-12.144437032867167</v>
      </c>
    </row>
    <row r="178" spans="1:3" x14ac:dyDescent="0.45">
      <c r="A178">
        <v>148</v>
      </c>
      <c r="B178">
        <v>20.481880474344639</v>
      </c>
      <c r="C178">
        <v>-12.181880474344638</v>
      </c>
    </row>
    <row r="179" spans="1:3" x14ac:dyDescent="0.45">
      <c r="A179">
        <v>149</v>
      </c>
      <c r="B179">
        <v>30.537897380412527</v>
      </c>
      <c r="C179">
        <v>-9.5378973804125273</v>
      </c>
    </row>
    <row r="180" spans="1:3" x14ac:dyDescent="0.45">
      <c r="A180">
        <v>150</v>
      </c>
      <c r="B180">
        <v>33.920787489591007</v>
      </c>
      <c r="C180">
        <v>-7.3207874895910052</v>
      </c>
    </row>
    <row r="181" spans="1:3" x14ac:dyDescent="0.45">
      <c r="A181">
        <v>151</v>
      </c>
      <c r="B181">
        <v>38.846283532398871</v>
      </c>
      <c r="C181">
        <v>-13.646283532398872</v>
      </c>
    </row>
    <row r="182" spans="1:3" x14ac:dyDescent="0.45">
      <c r="A182">
        <v>152</v>
      </c>
      <c r="B182">
        <v>61.360074886984627</v>
      </c>
      <c r="C182">
        <v>-13.860074886984627</v>
      </c>
    </row>
    <row r="183" spans="1:3" x14ac:dyDescent="0.45">
      <c r="A183">
        <v>153</v>
      </c>
      <c r="B183">
        <v>21.841708626835828</v>
      </c>
      <c r="C183">
        <v>-6.2417086268358286</v>
      </c>
    </row>
    <row r="184" spans="1:3" x14ac:dyDescent="0.45">
      <c r="A184">
        <v>154</v>
      </c>
      <c r="B184">
        <v>63.246370671700689</v>
      </c>
      <c r="C184">
        <v>101.9536293282993</v>
      </c>
    </row>
    <row r="185" spans="1:3" x14ac:dyDescent="0.45">
      <c r="A185">
        <v>155</v>
      </c>
      <c r="B185">
        <v>30.614179767236134</v>
      </c>
      <c r="C185">
        <v>-9.4141797672361349</v>
      </c>
    </row>
    <row r="186" spans="1:3" x14ac:dyDescent="0.45">
      <c r="A186">
        <v>156</v>
      </c>
      <c r="B186">
        <v>31.741945573227628</v>
      </c>
      <c r="C186">
        <v>-13.941945573227628</v>
      </c>
    </row>
    <row r="187" spans="1:3" x14ac:dyDescent="0.45">
      <c r="A187">
        <v>157</v>
      </c>
      <c r="B187">
        <v>98.044491990039575</v>
      </c>
      <c r="C187">
        <v>-45.944491990039573</v>
      </c>
    </row>
    <row r="188" spans="1:3" x14ac:dyDescent="0.45">
      <c r="A188">
        <v>158</v>
      </c>
      <c r="B188">
        <v>18.862725755786986</v>
      </c>
      <c r="C188">
        <v>-9.8627257557869861</v>
      </c>
    </row>
    <row r="189" spans="1:3" x14ac:dyDescent="0.45">
      <c r="A189">
        <v>159</v>
      </c>
      <c r="B189">
        <v>44.766760425239049</v>
      </c>
      <c r="C189">
        <v>-17.36676042523905</v>
      </c>
    </row>
    <row r="190" spans="1:3" x14ac:dyDescent="0.45">
      <c r="A190">
        <v>160</v>
      </c>
      <c r="B190">
        <v>11.385214111294646</v>
      </c>
      <c r="C190">
        <v>2.4147858887053548</v>
      </c>
    </row>
    <row r="191" spans="1:3" x14ac:dyDescent="0.45">
      <c r="A191">
        <v>161</v>
      </c>
      <c r="B191">
        <v>13.749607870890365</v>
      </c>
      <c r="C191">
        <v>0.450392129109634</v>
      </c>
    </row>
    <row r="192" spans="1:3" x14ac:dyDescent="0.45">
      <c r="A192">
        <v>162</v>
      </c>
      <c r="B192">
        <v>38.692776647230147</v>
      </c>
      <c r="C192">
        <v>-2.6927766472301471</v>
      </c>
    </row>
    <row r="193" spans="1:3" x14ac:dyDescent="0.45">
      <c r="A193">
        <v>163</v>
      </c>
      <c r="B193">
        <v>44.782733766556433</v>
      </c>
      <c r="C193">
        <v>-0.58273376655643006</v>
      </c>
    </row>
    <row r="194" spans="1:3" x14ac:dyDescent="0.45">
      <c r="A194">
        <v>164</v>
      </c>
      <c r="B194">
        <v>47.786519304611708</v>
      </c>
      <c r="C194">
        <v>-9.2865193046117085</v>
      </c>
    </row>
    <row r="195" spans="1:3" x14ac:dyDescent="0.45">
      <c r="A195">
        <v>165</v>
      </c>
      <c r="B195">
        <v>37.949705898906622</v>
      </c>
      <c r="C195">
        <v>-18.549705898906623</v>
      </c>
    </row>
    <row r="196" spans="1:3" x14ac:dyDescent="0.45">
      <c r="A196">
        <v>166</v>
      </c>
      <c r="B196">
        <v>41.914117938430046</v>
      </c>
      <c r="C196">
        <v>-14.514117938430047</v>
      </c>
    </row>
    <row r="197" spans="1:3" x14ac:dyDescent="0.45">
      <c r="A197">
        <v>167</v>
      </c>
      <c r="B197">
        <v>43.539758841526648</v>
      </c>
      <c r="C197">
        <v>-5.6397588415266497</v>
      </c>
    </row>
    <row r="198" spans="1:3" x14ac:dyDescent="0.45">
      <c r="A198">
        <v>168</v>
      </c>
      <c r="B198">
        <v>31.7247133400923</v>
      </c>
      <c r="C198">
        <v>12.2752866599077</v>
      </c>
    </row>
    <row r="199" spans="1:3" x14ac:dyDescent="0.45">
      <c r="A199">
        <v>169</v>
      </c>
      <c r="B199">
        <v>22.082186286283175</v>
      </c>
      <c r="C199">
        <v>-8.9821862862831754</v>
      </c>
    </row>
    <row r="200" spans="1:3" x14ac:dyDescent="0.45">
      <c r="A200">
        <v>170</v>
      </c>
      <c r="B200">
        <v>16.088451684535087</v>
      </c>
      <c r="C200">
        <v>-11.888451684535088</v>
      </c>
    </row>
    <row r="201" spans="1:3" x14ac:dyDescent="0.45">
      <c r="A201">
        <v>171</v>
      </c>
      <c r="B201">
        <v>96.13885400330544</v>
      </c>
      <c r="C201">
        <v>-34.938854003305437</v>
      </c>
    </row>
    <row r="202" spans="1:3" x14ac:dyDescent="0.45">
      <c r="A202">
        <v>172</v>
      </c>
      <c r="B202">
        <v>40.861851967628034</v>
      </c>
      <c r="C202">
        <v>-28.261851967628033</v>
      </c>
    </row>
    <row r="203" spans="1:3" x14ac:dyDescent="0.45">
      <c r="A203">
        <v>173</v>
      </c>
      <c r="B203">
        <v>29.233535342206682</v>
      </c>
      <c r="C203">
        <v>-15.133535342206683</v>
      </c>
    </row>
    <row r="204" spans="1:3" x14ac:dyDescent="0.45">
      <c r="A204">
        <v>174</v>
      </c>
      <c r="B204">
        <v>111.65300298195025</v>
      </c>
      <c r="C204">
        <v>-78.353002981950254</v>
      </c>
    </row>
    <row r="205" spans="1:3" x14ac:dyDescent="0.45">
      <c r="A205">
        <v>175</v>
      </c>
      <c r="B205">
        <v>26.203875931023838</v>
      </c>
      <c r="C205">
        <v>-5.303875931023839</v>
      </c>
    </row>
    <row r="206" spans="1:3" x14ac:dyDescent="0.45">
      <c r="A206">
        <v>176</v>
      </c>
      <c r="B206">
        <v>54.033873640346656</v>
      </c>
      <c r="C206">
        <v>-39.633873640346657</v>
      </c>
    </row>
    <row r="207" spans="1:3" x14ac:dyDescent="0.45">
      <c r="A207">
        <v>177</v>
      </c>
      <c r="B207">
        <v>49.1508056075727</v>
      </c>
      <c r="C207">
        <v>0.34919439242730022</v>
      </c>
    </row>
    <row r="208" spans="1:3" x14ac:dyDescent="0.45">
      <c r="A208">
        <v>178</v>
      </c>
      <c r="B208">
        <v>-3.9047580713480654</v>
      </c>
      <c r="C208">
        <v>14.004758071348064</v>
      </c>
    </row>
    <row r="209" spans="1:3" x14ac:dyDescent="0.45">
      <c r="A209">
        <v>179</v>
      </c>
      <c r="B209">
        <v>27.342720617933793</v>
      </c>
      <c r="C209">
        <v>-9.3427206179337929</v>
      </c>
    </row>
    <row r="210" spans="1:3" x14ac:dyDescent="0.45">
      <c r="A210">
        <v>180</v>
      </c>
      <c r="B210">
        <v>80.214456779120567</v>
      </c>
      <c r="C210">
        <v>-45.514456779120565</v>
      </c>
    </row>
    <row r="211" spans="1:3" x14ac:dyDescent="0.45">
      <c r="A211">
        <v>181</v>
      </c>
      <c r="B211">
        <v>39.055296558790673</v>
      </c>
      <c r="C211">
        <v>-19.355296558790673</v>
      </c>
    </row>
    <row r="212" spans="1:3" x14ac:dyDescent="0.45">
      <c r="A212">
        <v>182</v>
      </c>
      <c r="B212">
        <v>14.042817431349391</v>
      </c>
      <c r="C212">
        <v>-3.0428174313493912</v>
      </c>
    </row>
    <row r="213" spans="1:3" x14ac:dyDescent="0.45">
      <c r="A213">
        <v>183</v>
      </c>
      <c r="B213">
        <v>73.595161771685554</v>
      </c>
      <c r="C213">
        <v>-31.195161771685555</v>
      </c>
    </row>
    <row r="214" spans="1:3" x14ac:dyDescent="0.45">
      <c r="A214">
        <v>184</v>
      </c>
      <c r="B214">
        <v>21.863682521577939</v>
      </c>
      <c r="C214">
        <v>-11.763682521577939</v>
      </c>
    </row>
    <row r="215" spans="1:3" x14ac:dyDescent="0.45">
      <c r="A215">
        <v>185</v>
      </c>
      <c r="B215">
        <v>387.50032329514028</v>
      </c>
      <c r="C215">
        <v>-61.400323295140254</v>
      </c>
    </row>
    <row r="216" spans="1:3" x14ac:dyDescent="0.45">
      <c r="A216">
        <v>186</v>
      </c>
      <c r="B216">
        <v>25.043019461819451</v>
      </c>
      <c r="C216">
        <v>-16.343019461819452</v>
      </c>
    </row>
    <row r="217" spans="1:3" x14ac:dyDescent="0.45">
      <c r="A217">
        <v>187</v>
      </c>
      <c r="B217">
        <v>271.16792895896282</v>
      </c>
      <c r="C217">
        <v>252.23207104103716</v>
      </c>
    </row>
    <row r="218" spans="1:3" x14ac:dyDescent="0.45">
      <c r="A218">
        <v>188</v>
      </c>
      <c r="B218">
        <v>14.686312694906626</v>
      </c>
      <c r="C218">
        <v>0.6136873050933751</v>
      </c>
    </row>
    <row r="219" spans="1:3" x14ac:dyDescent="0.45">
      <c r="A219">
        <v>189</v>
      </c>
      <c r="B219">
        <v>26.782361218409619</v>
      </c>
      <c r="C219">
        <v>-18.682361218409618</v>
      </c>
    </row>
    <row r="220" spans="1:3" x14ac:dyDescent="0.45">
      <c r="A220">
        <v>190</v>
      </c>
      <c r="B220">
        <v>105.16076818719239</v>
      </c>
      <c r="C220">
        <v>-37.860768187192392</v>
      </c>
    </row>
    <row r="221" spans="1:3" x14ac:dyDescent="0.45">
      <c r="A221">
        <v>191</v>
      </c>
      <c r="B221">
        <v>45.827437819012395</v>
      </c>
      <c r="C221">
        <v>-13.527437819012398</v>
      </c>
    </row>
    <row r="222" spans="1:3" x14ac:dyDescent="0.45">
      <c r="A222">
        <v>192</v>
      </c>
      <c r="B222">
        <v>-1.9973195785536517</v>
      </c>
      <c r="C222">
        <v>24.397319578553649</v>
      </c>
    </row>
    <row r="223" spans="1:3" x14ac:dyDescent="0.45">
      <c r="A223">
        <v>193</v>
      </c>
      <c r="B223">
        <v>-19.233962755634739</v>
      </c>
      <c r="C223">
        <v>32.933962755634738</v>
      </c>
    </row>
    <row r="224" spans="1:3" x14ac:dyDescent="0.45">
      <c r="A224">
        <v>194</v>
      </c>
      <c r="B224">
        <v>45.812491841865238</v>
      </c>
      <c r="C224">
        <v>-18.91249184186524</v>
      </c>
    </row>
    <row r="225" spans="1:3" x14ac:dyDescent="0.45">
      <c r="A225">
        <v>195</v>
      </c>
      <c r="B225">
        <v>14.27490947760551</v>
      </c>
      <c r="C225">
        <v>-7.5749094776055097</v>
      </c>
    </row>
    <row r="226" spans="1:3" x14ac:dyDescent="0.45">
      <c r="A226">
        <v>196</v>
      </c>
      <c r="B226">
        <v>9.6056351070585961</v>
      </c>
      <c r="C226">
        <v>-4.2056351070585958</v>
      </c>
    </row>
    <row r="227" spans="1:3" x14ac:dyDescent="0.45">
      <c r="A227">
        <v>197</v>
      </c>
      <c r="B227">
        <v>11.041539690883178</v>
      </c>
      <c r="C227">
        <v>-3.0415396908831784</v>
      </c>
    </row>
    <row r="228" spans="1:3" x14ac:dyDescent="0.45">
      <c r="A228">
        <v>198</v>
      </c>
      <c r="B228">
        <v>25.838424613159123</v>
      </c>
      <c r="C228">
        <v>-14.538424613159123</v>
      </c>
    </row>
    <row r="229" spans="1:3" x14ac:dyDescent="0.45">
      <c r="A229">
        <v>199</v>
      </c>
      <c r="B229">
        <v>72.379820416509119</v>
      </c>
      <c r="C229">
        <v>-29.979820416509121</v>
      </c>
    </row>
    <row r="230" spans="1:3" x14ac:dyDescent="0.45">
      <c r="A230">
        <v>200</v>
      </c>
      <c r="B230">
        <v>28.919302844337551</v>
      </c>
      <c r="C230">
        <v>-4.0193028443375525</v>
      </c>
    </row>
    <row r="231" spans="1:3" x14ac:dyDescent="0.45">
      <c r="A231">
        <v>201</v>
      </c>
      <c r="B231">
        <v>13.096577783455038</v>
      </c>
      <c r="C231">
        <v>-3.496577783455038</v>
      </c>
    </row>
    <row r="232" spans="1:3" x14ac:dyDescent="0.45">
      <c r="A232">
        <v>202</v>
      </c>
      <c r="B232">
        <v>24.95246326704298</v>
      </c>
      <c r="C232">
        <v>-3.1524632670429789</v>
      </c>
    </row>
    <row r="233" spans="1:3" x14ac:dyDescent="0.45">
      <c r="A233">
        <v>203</v>
      </c>
      <c r="B233">
        <v>50.589183958265338</v>
      </c>
      <c r="C233">
        <v>-24.689183958265339</v>
      </c>
    </row>
    <row r="234" spans="1:3" x14ac:dyDescent="0.45">
      <c r="A234">
        <v>204</v>
      </c>
      <c r="B234">
        <v>16.413866017114888</v>
      </c>
      <c r="C234">
        <v>-3.7138660171148885</v>
      </c>
    </row>
    <row r="235" spans="1:3" x14ac:dyDescent="0.45">
      <c r="A235">
        <v>205</v>
      </c>
      <c r="B235">
        <v>12.624096026932309</v>
      </c>
      <c r="C235">
        <v>-0.82409602693230788</v>
      </c>
    </row>
    <row r="236" spans="1:3" x14ac:dyDescent="0.45">
      <c r="A236">
        <v>206</v>
      </c>
      <c r="B236">
        <v>28.566060355407416</v>
      </c>
      <c r="C236">
        <v>-17.766060355407415</v>
      </c>
    </row>
    <row r="237" spans="1:3" x14ac:dyDescent="0.45">
      <c r="A237">
        <v>207</v>
      </c>
      <c r="B237">
        <v>66.770786202974676</v>
      </c>
      <c r="C237">
        <v>-2.5707862029746735</v>
      </c>
    </row>
    <row r="238" spans="1:3" x14ac:dyDescent="0.45">
      <c r="A238">
        <v>208</v>
      </c>
      <c r="B238">
        <v>-4.0889369600044772</v>
      </c>
      <c r="C238">
        <v>136.28893696000446</v>
      </c>
    </row>
    <row r="239" spans="1:3" x14ac:dyDescent="0.45">
      <c r="A239">
        <v>209</v>
      </c>
      <c r="B239">
        <v>27.479149703554633</v>
      </c>
      <c r="C239">
        <v>-6.4791497035546328</v>
      </c>
    </row>
    <row r="240" spans="1:3" x14ac:dyDescent="0.45">
      <c r="A240">
        <v>210</v>
      </c>
      <c r="B240">
        <v>29.463750985122637</v>
      </c>
      <c r="C240">
        <v>1.6362490148773645</v>
      </c>
    </row>
    <row r="241" spans="1:3" x14ac:dyDescent="0.45">
      <c r="A241">
        <v>211</v>
      </c>
      <c r="B241">
        <v>215.2880715836188</v>
      </c>
      <c r="C241">
        <v>-153.7880715836188</v>
      </c>
    </row>
    <row r="242" spans="1:3" x14ac:dyDescent="0.45">
      <c r="A242">
        <v>212</v>
      </c>
      <c r="B242">
        <v>17.321904044850761</v>
      </c>
      <c r="C242">
        <v>-2.7219040448507617</v>
      </c>
    </row>
    <row r="243" spans="1:3" x14ac:dyDescent="0.45">
      <c r="A243">
        <v>213</v>
      </c>
      <c r="B243">
        <v>163.91533378429017</v>
      </c>
      <c r="C243">
        <v>-55.815333784290175</v>
      </c>
    </row>
    <row r="244" spans="1:3" x14ac:dyDescent="0.45">
      <c r="A244">
        <v>214</v>
      </c>
      <c r="B244">
        <v>34.854075508260074</v>
      </c>
      <c r="C244">
        <v>-17.954075508260075</v>
      </c>
    </row>
    <row r="245" spans="1:3" x14ac:dyDescent="0.45">
      <c r="A245">
        <v>215</v>
      </c>
      <c r="B245">
        <v>33.175365075483064</v>
      </c>
      <c r="C245">
        <v>63.824634924516936</v>
      </c>
    </row>
    <row r="246" spans="1:3" x14ac:dyDescent="0.45">
      <c r="A246">
        <v>216</v>
      </c>
      <c r="B246">
        <v>10.428577415242721</v>
      </c>
      <c r="C246">
        <v>-2.2285774152427216</v>
      </c>
    </row>
    <row r="247" spans="1:3" x14ac:dyDescent="0.45">
      <c r="A247">
        <v>217</v>
      </c>
      <c r="B247">
        <v>43.84828377004122</v>
      </c>
      <c r="C247">
        <v>-29.248283770041219</v>
      </c>
    </row>
    <row r="248" spans="1:3" x14ac:dyDescent="0.45">
      <c r="A248">
        <v>218</v>
      </c>
      <c r="B248">
        <v>40.725798995317291</v>
      </c>
      <c r="C248">
        <v>2.6742010046827076</v>
      </c>
    </row>
    <row r="249" spans="1:3" x14ac:dyDescent="0.45">
      <c r="A249">
        <v>219</v>
      </c>
      <c r="B249">
        <v>3.8838493726439505</v>
      </c>
      <c r="C249">
        <v>4.1161506273560491</v>
      </c>
    </row>
    <row r="250" spans="1:3" x14ac:dyDescent="0.45">
      <c r="A250">
        <v>220</v>
      </c>
      <c r="B250">
        <v>8.2577896964640711</v>
      </c>
      <c r="C250">
        <v>-5.7789696464071838E-2</v>
      </c>
    </row>
    <row r="251" spans="1:3" x14ac:dyDescent="0.45">
      <c r="A251">
        <v>221</v>
      </c>
      <c r="B251">
        <v>36.755739498863399</v>
      </c>
      <c r="C251">
        <v>-18.655739498863397</v>
      </c>
    </row>
    <row r="252" spans="1:3" x14ac:dyDescent="0.45">
      <c r="A252">
        <v>222</v>
      </c>
      <c r="B252">
        <v>2.7534956695023807</v>
      </c>
      <c r="C252">
        <v>17.146504330497617</v>
      </c>
    </row>
    <row r="253" spans="1:3" x14ac:dyDescent="0.45">
      <c r="A253">
        <v>223</v>
      </c>
      <c r="B253">
        <v>19.251972737305358</v>
      </c>
      <c r="C253">
        <v>-6.5519727373053591</v>
      </c>
    </row>
    <row r="254" spans="1:3" x14ac:dyDescent="0.45">
      <c r="A254">
        <v>224</v>
      </c>
      <c r="B254">
        <v>9.6571129227664372</v>
      </c>
      <c r="C254">
        <v>1.3428870772335628</v>
      </c>
    </row>
    <row r="255" spans="1:3" x14ac:dyDescent="0.45">
      <c r="A255">
        <v>225</v>
      </c>
      <c r="B255">
        <v>8.2409967467864575</v>
      </c>
      <c r="C255">
        <v>-0.94099674678645773</v>
      </c>
    </row>
    <row r="256" spans="1:3" x14ac:dyDescent="0.45">
      <c r="A256">
        <v>226</v>
      </c>
      <c r="B256">
        <v>18.682341810598977</v>
      </c>
      <c r="C256">
        <v>-7.1823418105989774</v>
      </c>
    </row>
    <row r="257" spans="1:3" x14ac:dyDescent="0.45">
      <c r="A257">
        <v>227</v>
      </c>
      <c r="B257">
        <v>43.719785061599012</v>
      </c>
      <c r="C257">
        <v>-29.719785061599012</v>
      </c>
    </row>
    <row r="258" spans="1:3" x14ac:dyDescent="0.45">
      <c r="A258">
        <v>228</v>
      </c>
      <c r="B258">
        <v>34.641157743565635</v>
      </c>
      <c r="C258">
        <v>-9.8411577435656348</v>
      </c>
    </row>
    <row r="259" spans="1:3" x14ac:dyDescent="0.45">
      <c r="A259">
        <v>229</v>
      </c>
      <c r="B259">
        <v>46.157781950368552</v>
      </c>
      <c r="C259">
        <v>-19.957781950368553</v>
      </c>
    </row>
    <row r="260" spans="1:3" x14ac:dyDescent="0.45">
      <c r="A260">
        <v>230</v>
      </c>
      <c r="B260">
        <v>22.379521108013666</v>
      </c>
      <c r="C260">
        <v>-11.179521108013667</v>
      </c>
    </row>
    <row r="261" spans="1:3" x14ac:dyDescent="0.45">
      <c r="A261">
        <v>231</v>
      </c>
      <c r="B261">
        <v>186.523438589015</v>
      </c>
      <c r="C261">
        <v>36.876561410985005</v>
      </c>
    </row>
    <row r="262" spans="1:3" x14ac:dyDescent="0.45">
      <c r="A262">
        <v>232</v>
      </c>
      <c r="B262">
        <v>107.05325943667778</v>
      </c>
      <c r="C262">
        <v>7.3467405633222285</v>
      </c>
    </row>
    <row r="263" spans="1:3" x14ac:dyDescent="0.45">
      <c r="A263">
        <v>233</v>
      </c>
      <c r="B263">
        <v>14.29927143627636</v>
      </c>
      <c r="C263">
        <v>3.0007285637236407</v>
      </c>
    </row>
    <row r="264" spans="1:3" x14ac:dyDescent="0.45">
      <c r="A264">
        <v>234</v>
      </c>
      <c r="B264">
        <v>9.9138771243943573</v>
      </c>
      <c r="C264">
        <v>4.486122875605643</v>
      </c>
    </row>
    <row r="265" spans="1:3" x14ac:dyDescent="0.45">
      <c r="A265">
        <v>235</v>
      </c>
      <c r="B265">
        <v>30.708554209582331</v>
      </c>
      <c r="C265">
        <v>4.1914457904176672</v>
      </c>
    </row>
    <row r="266" spans="1:3" x14ac:dyDescent="0.45">
      <c r="A266">
        <v>236</v>
      </c>
      <c r="B266">
        <v>48.189586498710696</v>
      </c>
      <c r="C266">
        <v>-11.189586498710696</v>
      </c>
    </row>
    <row r="267" spans="1:3" x14ac:dyDescent="0.45">
      <c r="A267">
        <v>237</v>
      </c>
      <c r="B267">
        <v>-2.410730139049122</v>
      </c>
      <c r="C267">
        <v>19.210730139049122</v>
      </c>
    </row>
    <row r="268" spans="1:3" x14ac:dyDescent="0.45">
      <c r="A268">
        <v>238</v>
      </c>
      <c r="B268">
        <v>31.091237237994481</v>
      </c>
      <c r="C268">
        <v>-20.491237237994483</v>
      </c>
    </row>
    <row r="269" spans="1:3" x14ac:dyDescent="0.45">
      <c r="A269">
        <v>239</v>
      </c>
      <c r="B269">
        <v>49.099128621478954</v>
      </c>
      <c r="C269">
        <v>-33.699128621478955</v>
      </c>
    </row>
    <row r="270" spans="1:3" x14ac:dyDescent="0.45">
      <c r="A270">
        <v>240</v>
      </c>
      <c r="B270">
        <v>22.547572143646036</v>
      </c>
      <c r="C270">
        <v>-4.5475721436460361</v>
      </c>
    </row>
    <row r="271" spans="1:3" x14ac:dyDescent="0.45">
      <c r="A271">
        <v>241</v>
      </c>
      <c r="B271">
        <v>61.554641613750135</v>
      </c>
      <c r="C271">
        <v>-5.5546416137501353</v>
      </c>
    </row>
    <row r="272" spans="1:3" x14ac:dyDescent="0.45">
      <c r="A272">
        <v>242</v>
      </c>
      <c r="B272">
        <v>62.992504361477963</v>
      </c>
      <c r="C272">
        <v>-30.692504361477965</v>
      </c>
    </row>
    <row r="273" spans="1:3" x14ac:dyDescent="0.45">
      <c r="A273">
        <v>243</v>
      </c>
      <c r="B273">
        <v>18.65006744116792</v>
      </c>
      <c r="C273">
        <v>-0.45006744116792063</v>
      </c>
    </row>
    <row r="274" spans="1:3" x14ac:dyDescent="0.45">
      <c r="A274">
        <v>244</v>
      </c>
      <c r="B274">
        <v>23.862441720288238</v>
      </c>
      <c r="C274">
        <v>-1.0624417202882377</v>
      </c>
    </row>
    <row r="275" spans="1:3" x14ac:dyDescent="0.45">
      <c r="A275">
        <v>245</v>
      </c>
      <c r="B275">
        <v>257.28522893480789</v>
      </c>
      <c r="C275">
        <v>-45.78522893480789</v>
      </c>
    </row>
    <row r="276" spans="1:3" x14ac:dyDescent="0.45">
      <c r="A276">
        <v>246</v>
      </c>
      <c r="B276">
        <v>38.674850362851913</v>
      </c>
      <c r="C276">
        <v>2.7251496371480854</v>
      </c>
    </row>
    <row r="277" spans="1:3" x14ac:dyDescent="0.45">
      <c r="A277">
        <v>247</v>
      </c>
      <c r="B277">
        <v>172.80809904355499</v>
      </c>
      <c r="C277">
        <v>-30.408099043554984</v>
      </c>
    </row>
    <row r="278" spans="1:3" x14ac:dyDescent="0.45">
      <c r="A278">
        <v>248</v>
      </c>
      <c r="B278">
        <v>22.836001399838644</v>
      </c>
      <c r="C278">
        <v>1.6639986001613565</v>
      </c>
    </row>
    <row r="279" spans="1:3" x14ac:dyDescent="0.45">
      <c r="A279">
        <v>249</v>
      </c>
      <c r="B279">
        <v>5.137255130771063</v>
      </c>
      <c r="C279">
        <v>3.1627448692289377</v>
      </c>
    </row>
    <row r="280" spans="1:3" x14ac:dyDescent="0.45">
      <c r="A280">
        <v>250</v>
      </c>
      <c r="B280">
        <v>26.311491442505851</v>
      </c>
      <c r="C280">
        <v>-15.01149144250585</v>
      </c>
    </row>
    <row r="281" spans="1:3" x14ac:dyDescent="0.45">
      <c r="A281">
        <v>251</v>
      </c>
      <c r="B281">
        <v>52.464099883645844</v>
      </c>
      <c r="C281">
        <v>-11.264099883645841</v>
      </c>
    </row>
    <row r="282" spans="1:3" x14ac:dyDescent="0.45">
      <c r="A282">
        <v>252</v>
      </c>
      <c r="B282">
        <v>102.69185025737639</v>
      </c>
      <c r="C282">
        <v>-57.791850257376389</v>
      </c>
    </row>
    <row r="283" spans="1:3" x14ac:dyDescent="0.45">
      <c r="A283">
        <v>253</v>
      </c>
      <c r="B283">
        <v>10.182564125097869</v>
      </c>
      <c r="C283">
        <v>3.4174358749021305</v>
      </c>
    </row>
    <row r="284" spans="1:3" x14ac:dyDescent="0.45">
      <c r="A284">
        <v>254</v>
      </c>
      <c r="B284">
        <v>36.515219971085848</v>
      </c>
      <c r="C284">
        <v>-16.11521997108585</v>
      </c>
    </row>
    <row r="285" spans="1:3" x14ac:dyDescent="0.45">
      <c r="A285">
        <v>255</v>
      </c>
      <c r="B285">
        <v>4.3978025092091446</v>
      </c>
      <c r="C285">
        <v>5.0021974907908557</v>
      </c>
    </row>
    <row r="286" spans="1:3" x14ac:dyDescent="0.45">
      <c r="A286">
        <v>256</v>
      </c>
      <c r="B286">
        <v>21.445741801820478</v>
      </c>
      <c r="C286">
        <v>-8.545741801820478</v>
      </c>
    </row>
    <row r="287" spans="1:3" x14ac:dyDescent="0.45">
      <c r="A287">
        <v>257</v>
      </c>
      <c r="B287">
        <v>10.610354268505674</v>
      </c>
      <c r="C287">
        <v>-1.310354268505673</v>
      </c>
    </row>
    <row r="288" spans="1:3" x14ac:dyDescent="0.45">
      <c r="A288">
        <v>258</v>
      </c>
      <c r="B288">
        <v>24.042531670393686</v>
      </c>
      <c r="C288">
        <v>-10.442531670393686</v>
      </c>
    </row>
    <row r="289" spans="1:3" x14ac:dyDescent="0.45">
      <c r="A289">
        <v>259</v>
      </c>
      <c r="B289">
        <v>244.83355525402868</v>
      </c>
      <c r="C289">
        <v>108.26644474597134</v>
      </c>
    </row>
    <row r="290" spans="1:3" x14ac:dyDescent="0.45">
      <c r="A290">
        <v>260</v>
      </c>
      <c r="B290">
        <v>39.999068744603264</v>
      </c>
      <c r="C290">
        <v>-5.1990687446032666</v>
      </c>
    </row>
    <row r="291" spans="1:3" x14ac:dyDescent="0.45">
      <c r="A291">
        <v>261</v>
      </c>
      <c r="B291">
        <v>7.4682787787418343</v>
      </c>
      <c r="C291">
        <v>379.1317212212582</v>
      </c>
    </row>
    <row r="292" spans="1:3" x14ac:dyDescent="0.45">
      <c r="A292">
        <v>262</v>
      </c>
      <c r="B292">
        <v>11.516299240230673</v>
      </c>
      <c r="C292">
        <v>-2.216299240230672</v>
      </c>
    </row>
    <row r="293" spans="1:3" x14ac:dyDescent="0.45">
      <c r="A293">
        <v>263</v>
      </c>
      <c r="B293">
        <v>15.340888167561753</v>
      </c>
      <c r="C293">
        <v>-4.3408881675617526</v>
      </c>
    </row>
    <row r="294" spans="1:3" x14ac:dyDescent="0.45">
      <c r="A294">
        <v>264</v>
      </c>
      <c r="B294">
        <v>22.053615134382799</v>
      </c>
      <c r="C294">
        <v>0.14638486561720043</v>
      </c>
    </row>
    <row r="295" spans="1:3" x14ac:dyDescent="0.45">
      <c r="A295">
        <v>265</v>
      </c>
      <c r="B295">
        <v>-0.23923374067112979</v>
      </c>
      <c r="C295">
        <v>22.83923374067113</v>
      </c>
    </row>
    <row r="296" spans="1:3" x14ac:dyDescent="0.45">
      <c r="A296">
        <v>266</v>
      </c>
      <c r="B296">
        <v>43.986516323069488</v>
      </c>
      <c r="C296">
        <v>-4.586516323069489</v>
      </c>
    </row>
    <row r="297" spans="1:3" x14ac:dyDescent="0.45">
      <c r="A297">
        <v>267</v>
      </c>
      <c r="B297">
        <v>-2.1338150405984715</v>
      </c>
      <c r="C297">
        <v>8.3338150405984717</v>
      </c>
    </row>
    <row r="298" spans="1:3" x14ac:dyDescent="0.45">
      <c r="A298">
        <v>268</v>
      </c>
      <c r="B298">
        <v>59.088236946261475</v>
      </c>
      <c r="C298">
        <v>-20.488236946261473</v>
      </c>
    </row>
    <row r="299" spans="1:3" x14ac:dyDescent="0.45">
      <c r="A299">
        <v>269</v>
      </c>
      <c r="B299">
        <v>21.685335423339126</v>
      </c>
      <c r="C299">
        <v>-5.5853354233391244</v>
      </c>
    </row>
    <row r="300" spans="1:3" x14ac:dyDescent="0.45">
      <c r="A300">
        <v>270</v>
      </c>
      <c r="B300">
        <v>20.881592766513798</v>
      </c>
      <c r="C300">
        <v>-10.281592766513798</v>
      </c>
    </row>
    <row r="301" spans="1:3" x14ac:dyDescent="0.45">
      <c r="A301">
        <v>271</v>
      </c>
      <c r="B301">
        <v>82.852308441882116</v>
      </c>
      <c r="C301">
        <v>6.7476915581178787</v>
      </c>
    </row>
    <row r="302" spans="1:3" x14ac:dyDescent="0.45">
      <c r="A302">
        <v>272</v>
      </c>
      <c r="B302">
        <v>48.030053441789768</v>
      </c>
      <c r="C302">
        <v>-22.530053441789768</v>
      </c>
    </row>
    <row r="303" spans="1:3" x14ac:dyDescent="0.45">
      <c r="A303">
        <v>273</v>
      </c>
      <c r="B303">
        <v>24.238921328192355</v>
      </c>
      <c r="C303">
        <v>-10.338921328192354</v>
      </c>
    </row>
    <row r="304" spans="1:3" x14ac:dyDescent="0.45">
      <c r="A304">
        <v>274</v>
      </c>
      <c r="B304">
        <v>33.26029698623767</v>
      </c>
      <c r="C304">
        <v>-17.06029698623767</v>
      </c>
    </row>
    <row r="305" spans="1:3" x14ac:dyDescent="0.45">
      <c r="A305">
        <v>275</v>
      </c>
      <c r="B305">
        <v>40.321306861511104</v>
      </c>
      <c r="C305">
        <v>-23.021306861511103</v>
      </c>
    </row>
    <row r="306" spans="1:3" x14ac:dyDescent="0.45">
      <c r="A306">
        <v>276</v>
      </c>
      <c r="B306">
        <v>43.527543560634356</v>
      </c>
      <c r="C306">
        <v>-15.527543560634356</v>
      </c>
    </row>
    <row r="307" spans="1:3" x14ac:dyDescent="0.45">
      <c r="A307">
        <v>277</v>
      </c>
      <c r="B307">
        <v>1.7863936043082944</v>
      </c>
      <c r="C307">
        <v>4.2136063956917056</v>
      </c>
    </row>
    <row r="308" spans="1:3" x14ac:dyDescent="0.45">
      <c r="A308">
        <v>278</v>
      </c>
      <c r="B308">
        <v>18.103595217636045</v>
      </c>
      <c r="C308">
        <v>-3.503595217636045</v>
      </c>
    </row>
    <row r="309" spans="1:3" x14ac:dyDescent="0.45">
      <c r="A309">
        <v>279</v>
      </c>
      <c r="B309">
        <v>22.315934913990461</v>
      </c>
      <c r="C309">
        <v>-13.41593491399046</v>
      </c>
    </row>
    <row r="310" spans="1:3" x14ac:dyDescent="0.45">
      <c r="A310">
        <v>280</v>
      </c>
      <c r="B310">
        <v>48.114605779600581</v>
      </c>
      <c r="C310">
        <v>36.385394220399419</v>
      </c>
    </row>
    <row r="311" spans="1:3" x14ac:dyDescent="0.45">
      <c r="A311">
        <v>281</v>
      </c>
      <c r="B311">
        <v>-9.5573035406219695</v>
      </c>
      <c r="C311">
        <v>26.657303540621971</v>
      </c>
    </row>
    <row r="312" spans="1:3" x14ac:dyDescent="0.45">
      <c r="A312">
        <v>282</v>
      </c>
      <c r="B312">
        <v>16.941787120426</v>
      </c>
      <c r="C312">
        <v>-4.4417871204259995</v>
      </c>
    </row>
    <row r="313" spans="1:3" x14ac:dyDescent="0.45">
      <c r="A313">
        <v>283</v>
      </c>
      <c r="B313">
        <v>125.25337723674758</v>
      </c>
      <c r="C313">
        <v>-27.153377236747588</v>
      </c>
    </row>
    <row r="314" spans="1:3" x14ac:dyDescent="0.45">
      <c r="A314">
        <v>284</v>
      </c>
      <c r="B314">
        <v>-3.2816858013937029</v>
      </c>
      <c r="C314">
        <v>19.381685801393704</v>
      </c>
    </row>
    <row r="315" spans="1:3" x14ac:dyDescent="0.45">
      <c r="A315">
        <v>285</v>
      </c>
      <c r="B315">
        <v>88.17341195015689</v>
      </c>
      <c r="C315">
        <v>-5.2734119501568841</v>
      </c>
    </row>
    <row r="316" spans="1:3" x14ac:dyDescent="0.45">
      <c r="A316">
        <v>286</v>
      </c>
      <c r="B316">
        <v>54.942720901233251</v>
      </c>
      <c r="C316">
        <v>-11.34272090123325</v>
      </c>
    </row>
    <row r="317" spans="1:3" x14ac:dyDescent="0.45">
      <c r="A317">
        <v>287</v>
      </c>
      <c r="B317">
        <v>20.199747840993318</v>
      </c>
      <c r="C317">
        <v>7.6002521590066827</v>
      </c>
    </row>
    <row r="318" spans="1:3" x14ac:dyDescent="0.45">
      <c r="A318">
        <v>288</v>
      </c>
      <c r="B318">
        <v>10.968090934875416</v>
      </c>
      <c r="C318">
        <v>-2.4680909348754163</v>
      </c>
    </row>
    <row r="319" spans="1:3" x14ac:dyDescent="0.45">
      <c r="A319">
        <v>289</v>
      </c>
      <c r="B319">
        <v>9.6342010130950317</v>
      </c>
      <c r="C319">
        <v>-2.1342010130950317</v>
      </c>
    </row>
    <row r="320" spans="1:3" x14ac:dyDescent="0.45">
      <c r="A320">
        <v>290</v>
      </c>
      <c r="B320">
        <v>49.734666113586826</v>
      </c>
      <c r="C320">
        <v>-18.134666113586825</v>
      </c>
    </row>
    <row r="321" spans="1:3" x14ac:dyDescent="0.45">
      <c r="A321">
        <v>291</v>
      </c>
      <c r="B321">
        <v>50.986089692555538</v>
      </c>
      <c r="C321">
        <v>-8.6089692555539443E-2</v>
      </c>
    </row>
    <row r="322" spans="1:3" x14ac:dyDescent="0.45">
      <c r="A322">
        <v>292</v>
      </c>
      <c r="B322">
        <v>40.862810558278973</v>
      </c>
      <c r="C322">
        <v>0.93718944172102425</v>
      </c>
    </row>
    <row r="323" spans="1:3" x14ac:dyDescent="0.45">
      <c r="A323">
        <v>293</v>
      </c>
      <c r="B323">
        <v>44.305684588809179</v>
      </c>
      <c r="C323">
        <v>-30.505684588809178</v>
      </c>
    </row>
    <row r="324" spans="1:3" x14ac:dyDescent="0.45">
      <c r="A324">
        <v>294</v>
      </c>
      <c r="B324">
        <v>17.193230346344198</v>
      </c>
      <c r="C324">
        <v>-3.7932303463441972</v>
      </c>
    </row>
    <row r="325" spans="1:3" x14ac:dyDescent="0.45">
      <c r="A325">
        <v>295</v>
      </c>
      <c r="B325">
        <v>113.32466872228218</v>
      </c>
      <c r="C325">
        <v>73.775331277717811</v>
      </c>
    </row>
    <row r="326" spans="1:3" x14ac:dyDescent="0.45">
      <c r="A326">
        <v>296</v>
      </c>
      <c r="B326">
        <v>5.0765466894205611</v>
      </c>
      <c r="C326">
        <v>0.72345331057943874</v>
      </c>
    </row>
    <row r="327" spans="1:3" x14ac:dyDescent="0.45">
      <c r="A327">
        <v>297</v>
      </c>
      <c r="B327">
        <v>20.102612938367265</v>
      </c>
      <c r="C327">
        <v>-6.6026129383672654</v>
      </c>
    </row>
    <row r="328" spans="1:3" x14ac:dyDescent="0.45">
      <c r="A328">
        <v>298</v>
      </c>
      <c r="B328">
        <v>125.18185633481158</v>
      </c>
      <c r="C328">
        <v>6.9181436651884098</v>
      </c>
    </row>
    <row r="329" spans="1:3" x14ac:dyDescent="0.45">
      <c r="A329">
        <v>299</v>
      </c>
      <c r="B329">
        <v>46.924020497511023</v>
      </c>
      <c r="C329">
        <v>-15.424020497511023</v>
      </c>
    </row>
    <row r="330" spans="1:3" x14ac:dyDescent="0.45">
      <c r="A330">
        <v>300</v>
      </c>
      <c r="B330">
        <v>100.15750096081388</v>
      </c>
      <c r="C330">
        <v>9.9424990391861172</v>
      </c>
    </row>
    <row r="331" spans="1:3" x14ac:dyDescent="0.45">
      <c r="A331">
        <v>301</v>
      </c>
      <c r="B331">
        <v>90.858919781962598</v>
      </c>
      <c r="C331">
        <v>61.341080218037391</v>
      </c>
    </row>
    <row r="332" spans="1:3" x14ac:dyDescent="0.45">
      <c r="A332">
        <v>302</v>
      </c>
      <c r="B332">
        <v>8.1352683454921901E-2</v>
      </c>
      <c r="C332">
        <v>48.618647316545079</v>
      </c>
    </row>
    <row r="333" spans="1:3" x14ac:dyDescent="0.45">
      <c r="A333">
        <v>303</v>
      </c>
      <c r="B333">
        <v>118.31545768749716</v>
      </c>
      <c r="C333">
        <v>-101.91545768749717</v>
      </c>
    </row>
    <row r="334" spans="1:3" x14ac:dyDescent="0.45">
      <c r="A334">
        <v>304</v>
      </c>
      <c r="B334">
        <v>29.306053901201771</v>
      </c>
      <c r="C334">
        <v>-9.7060539012017699</v>
      </c>
    </row>
    <row r="335" spans="1:3" x14ac:dyDescent="0.45">
      <c r="A335">
        <v>305</v>
      </c>
      <c r="B335">
        <v>12.382811674991078</v>
      </c>
      <c r="C335">
        <v>-2.2828116749910787</v>
      </c>
    </row>
    <row r="336" spans="1:3" x14ac:dyDescent="0.45">
      <c r="A336">
        <v>306</v>
      </c>
      <c r="B336">
        <v>30.054117400113899</v>
      </c>
      <c r="C336">
        <v>-10.654117400113901</v>
      </c>
    </row>
    <row r="337" spans="1:3" x14ac:dyDescent="0.45">
      <c r="A337">
        <v>307</v>
      </c>
      <c r="B337">
        <v>120.98153125037028</v>
      </c>
      <c r="C337">
        <v>-72.381531250370273</v>
      </c>
    </row>
    <row r="338" spans="1:3" x14ac:dyDescent="0.45">
      <c r="A338">
        <v>308</v>
      </c>
      <c r="B338">
        <v>417.46076098126639</v>
      </c>
      <c r="C338">
        <v>272.53923901873361</v>
      </c>
    </row>
    <row r="339" spans="1:3" x14ac:dyDescent="0.45">
      <c r="A339">
        <v>309</v>
      </c>
      <c r="B339">
        <v>18.309188065333483</v>
      </c>
      <c r="C339">
        <v>-8.3091880653334833</v>
      </c>
    </row>
    <row r="340" spans="1:3" x14ac:dyDescent="0.45">
      <c r="A340">
        <v>310</v>
      </c>
      <c r="B340">
        <v>47.699092470653298</v>
      </c>
      <c r="C340">
        <v>-27.799092470653299</v>
      </c>
    </row>
    <row r="341" spans="1:3" x14ac:dyDescent="0.45">
      <c r="A341">
        <v>311</v>
      </c>
      <c r="B341">
        <v>36.453632140556699</v>
      </c>
      <c r="C341">
        <v>-24.053632140556701</v>
      </c>
    </row>
    <row r="342" spans="1:3" x14ac:dyDescent="0.45">
      <c r="A342">
        <v>312</v>
      </c>
      <c r="B342">
        <v>45.752377352759545</v>
      </c>
      <c r="C342">
        <v>20.047622647240452</v>
      </c>
    </row>
    <row r="343" spans="1:3" x14ac:dyDescent="0.45">
      <c r="A343">
        <v>313</v>
      </c>
      <c r="B343">
        <v>55.240802987521121</v>
      </c>
      <c r="C343">
        <v>-2.1408029875211199</v>
      </c>
    </row>
    <row r="344" spans="1:3" x14ac:dyDescent="0.45">
      <c r="A344">
        <v>314</v>
      </c>
      <c r="B344">
        <v>40.305547394738674</v>
      </c>
      <c r="C344">
        <v>-3.9055473947386758</v>
      </c>
    </row>
    <row r="345" spans="1:3" x14ac:dyDescent="0.45">
      <c r="A345">
        <v>315</v>
      </c>
      <c r="B345">
        <v>51.73246773225793</v>
      </c>
      <c r="C345">
        <v>-21.532467732257931</v>
      </c>
    </row>
    <row r="346" spans="1:3" x14ac:dyDescent="0.45">
      <c r="A346">
        <v>316</v>
      </c>
      <c r="B346">
        <v>1.3228550136663351</v>
      </c>
      <c r="C346">
        <v>96.177144986333658</v>
      </c>
    </row>
    <row r="347" spans="1:3" x14ac:dyDescent="0.45">
      <c r="A347">
        <v>317</v>
      </c>
      <c r="B347">
        <v>37.875668149844017</v>
      </c>
      <c r="C347">
        <v>-21.275668149844016</v>
      </c>
    </row>
    <row r="348" spans="1:3" x14ac:dyDescent="0.45">
      <c r="A348">
        <v>318</v>
      </c>
      <c r="B348">
        <v>37.320949620602448</v>
      </c>
      <c r="C348">
        <v>-15.620949620602449</v>
      </c>
    </row>
    <row r="349" spans="1:3" x14ac:dyDescent="0.45">
      <c r="A349">
        <v>319</v>
      </c>
      <c r="B349">
        <v>16.711157262894428</v>
      </c>
      <c r="C349">
        <v>-3.9111572628944273</v>
      </c>
    </row>
    <row r="350" spans="1:3" x14ac:dyDescent="0.45">
      <c r="A350">
        <v>320</v>
      </c>
      <c r="B350">
        <v>15.52783755633814</v>
      </c>
      <c r="C350">
        <v>-2.6278375563381395</v>
      </c>
    </row>
    <row r="351" spans="1:3" x14ac:dyDescent="0.45">
      <c r="A351">
        <v>321</v>
      </c>
      <c r="B351">
        <v>-10.493105075118457</v>
      </c>
      <c r="C351">
        <v>14.193105075118456</v>
      </c>
    </row>
    <row r="352" spans="1:3" x14ac:dyDescent="0.45">
      <c r="A352">
        <v>322</v>
      </c>
      <c r="B352">
        <v>19.923765958292581</v>
      </c>
      <c r="C352">
        <v>-4.5237659582925804</v>
      </c>
    </row>
    <row r="353" spans="1:3" x14ac:dyDescent="0.45">
      <c r="A353">
        <v>323</v>
      </c>
      <c r="B353">
        <v>91.82917011890477</v>
      </c>
      <c r="C353">
        <v>22.970829881095227</v>
      </c>
    </row>
    <row r="354" spans="1:3" x14ac:dyDescent="0.45">
      <c r="A354">
        <v>324</v>
      </c>
      <c r="B354">
        <v>15.784514958123184</v>
      </c>
      <c r="C354">
        <v>-1.3845149581231837</v>
      </c>
    </row>
    <row r="355" spans="1:3" x14ac:dyDescent="0.45">
      <c r="A355">
        <v>325</v>
      </c>
      <c r="B355">
        <v>33.392934236300896</v>
      </c>
      <c r="C355">
        <v>-27.692934236300896</v>
      </c>
    </row>
    <row r="356" spans="1:3" x14ac:dyDescent="0.45">
      <c r="A356">
        <v>326</v>
      </c>
      <c r="B356">
        <v>27.773871560354937</v>
      </c>
      <c r="C356">
        <v>-8.073871560354938</v>
      </c>
    </row>
    <row r="357" spans="1:3" x14ac:dyDescent="0.45">
      <c r="A357">
        <v>327</v>
      </c>
      <c r="B357">
        <v>14.13316062681514</v>
      </c>
      <c r="C357">
        <v>-4.73316062681514</v>
      </c>
    </row>
    <row r="358" spans="1:3" x14ac:dyDescent="0.45">
      <c r="A358">
        <v>328</v>
      </c>
      <c r="B358">
        <v>14.302707202090136</v>
      </c>
      <c r="C358">
        <v>-4.8027072020901365</v>
      </c>
    </row>
    <row r="359" spans="1:3" x14ac:dyDescent="0.45">
      <c r="A359">
        <v>329</v>
      </c>
      <c r="B359">
        <v>92.00239740695676</v>
      </c>
      <c r="C359">
        <v>-22.302397406956757</v>
      </c>
    </row>
    <row r="360" spans="1:3" x14ac:dyDescent="0.45">
      <c r="A360">
        <v>330</v>
      </c>
      <c r="B360">
        <v>16.317149242481076</v>
      </c>
      <c r="C360">
        <v>-2.9171492424810754</v>
      </c>
    </row>
    <row r="361" spans="1:3" x14ac:dyDescent="0.45">
      <c r="A361">
        <v>331</v>
      </c>
      <c r="B361">
        <v>59.372406322440987</v>
      </c>
      <c r="C361">
        <v>47.42759367755901</v>
      </c>
    </row>
    <row r="362" spans="1:3" x14ac:dyDescent="0.45">
      <c r="A362">
        <v>332</v>
      </c>
      <c r="B362">
        <v>10.757916771976644</v>
      </c>
      <c r="C362">
        <v>-2.9579167719766444</v>
      </c>
    </row>
    <row r="363" spans="1:3" x14ac:dyDescent="0.45">
      <c r="A363">
        <v>333</v>
      </c>
      <c r="B363">
        <v>17.304239087457624</v>
      </c>
      <c r="C363">
        <v>-4.1042390874576249</v>
      </c>
    </row>
    <row r="364" spans="1:3" x14ac:dyDescent="0.45">
      <c r="A364">
        <v>334</v>
      </c>
      <c r="B364">
        <v>12.568040372705669</v>
      </c>
      <c r="C364">
        <v>-4.3680403727056696</v>
      </c>
    </row>
    <row r="365" spans="1:3" x14ac:dyDescent="0.45">
      <c r="A365">
        <v>335</v>
      </c>
      <c r="B365">
        <v>31.810047600561774</v>
      </c>
      <c r="C365">
        <v>8.6899523994382264</v>
      </c>
    </row>
    <row r="366" spans="1:3" x14ac:dyDescent="0.45">
      <c r="A366">
        <v>336</v>
      </c>
      <c r="B366">
        <v>10.016165707033121</v>
      </c>
      <c r="C366">
        <v>12.883834292966878</v>
      </c>
    </row>
    <row r="367" spans="1:3" x14ac:dyDescent="0.45">
      <c r="A367">
        <v>337</v>
      </c>
      <c r="B367">
        <v>82.987377632301886</v>
      </c>
      <c r="C367">
        <v>-24.187377632301889</v>
      </c>
    </row>
    <row r="368" spans="1:3" x14ac:dyDescent="0.45">
      <c r="A368">
        <v>338</v>
      </c>
      <c r="B368">
        <v>22.665836101747274</v>
      </c>
      <c r="C368">
        <v>-9.465836101747275</v>
      </c>
    </row>
    <row r="369" spans="1:3" x14ac:dyDescent="0.45">
      <c r="A369">
        <v>339</v>
      </c>
      <c r="B369">
        <v>25.079288493220275</v>
      </c>
      <c r="C369">
        <v>-17.079288493220275</v>
      </c>
    </row>
    <row r="370" spans="1:3" x14ac:dyDescent="0.45">
      <c r="A370">
        <v>340</v>
      </c>
      <c r="B370">
        <v>24.023780219107259</v>
      </c>
      <c r="C370">
        <v>-4.0237802191072589</v>
      </c>
    </row>
    <row r="371" spans="1:3" x14ac:dyDescent="0.45">
      <c r="A371">
        <v>341</v>
      </c>
      <c r="B371">
        <v>101.28550709227702</v>
      </c>
      <c r="C371">
        <v>37.414492907722973</v>
      </c>
    </row>
    <row r="372" spans="1:3" x14ac:dyDescent="0.45">
      <c r="A372">
        <v>342</v>
      </c>
      <c r="B372">
        <v>53.79088506395771</v>
      </c>
      <c r="C372">
        <v>-32.390885063957711</v>
      </c>
    </row>
    <row r="373" spans="1:3" x14ac:dyDescent="0.45">
      <c r="A373">
        <v>343</v>
      </c>
      <c r="B373">
        <v>22.782564598129184</v>
      </c>
      <c r="C373">
        <v>-5.3825645981291856</v>
      </c>
    </row>
    <row r="374" spans="1:3" x14ac:dyDescent="0.45">
      <c r="A374">
        <v>344</v>
      </c>
      <c r="B374">
        <v>19.136493183790947</v>
      </c>
      <c r="C374">
        <v>2.8635068162090533</v>
      </c>
    </row>
    <row r="375" spans="1:3" x14ac:dyDescent="0.45">
      <c r="A375">
        <v>345</v>
      </c>
      <c r="B375">
        <v>168.06718347235099</v>
      </c>
      <c r="C375">
        <v>34.232816527649021</v>
      </c>
    </row>
    <row r="376" spans="1:3" x14ac:dyDescent="0.45">
      <c r="A376">
        <v>346</v>
      </c>
      <c r="B376">
        <v>35.904541730144665</v>
      </c>
      <c r="C376">
        <v>-11.704541730144665</v>
      </c>
    </row>
    <row r="377" spans="1:3" x14ac:dyDescent="0.45">
      <c r="A377">
        <v>347</v>
      </c>
      <c r="B377">
        <v>16.504446712991651</v>
      </c>
      <c r="C377">
        <v>-5.4044467129916516</v>
      </c>
    </row>
    <row r="378" spans="1:3" x14ac:dyDescent="0.45">
      <c r="A378">
        <v>348</v>
      </c>
      <c r="B378">
        <v>40.84373642253972</v>
      </c>
      <c r="C378">
        <v>-16.443736422539722</v>
      </c>
    </row>
    <row r="379" spans="1:3" x14ac:dyDescent="0.45">
      <c r="A379">
        <v>349</v>
      </c>
      <c r="B379">
        <v>-0.13772244246980681</v>
      </c>
      <c r="C379">
        <v>3.3377224424698069</v>
      </c>
    </row>
    <row r="380" spans="1:3" x14ac:dyDescent="0.45">
      <c r="A380">
        <v>350</v>
      </c>
      <c r="B380">
        <v>23.8966209097565</v>
      </c>
      <c r="C380">
        <v>-0.59662090975649917</v>
      </c>
    </row>
    <row r="381" spans="1:3" x14ac:dyDescent="0.45">
      <c r="A381">
        <v>351</v>
      </c>
      <c r="B381">
        <v>51.238246118437175</v>
      </c>
      <c r="C381">
        <v>39.461753881562828</v>
      </c>
    </row>
    <row r="382" spans="1:3" x14ac:dyDescent="0.45">
      <c r="A382">
        <v>352</v>
      </c>
      <c r="B382">
        <v>12.632248724303537</v>
      </c>
      <c r="C382">
        <v>-0.13224872430353685</v>
      </c>
    </row>
    <row r="383" spans="1:3" x14ac:dyDescent="0.45">
      <c r="A383">
        <v>353</v>
      </c>
      <c r="B383">
        <v>-2.4050055895738898</v>
      </c>
      <c r="C383">
        <v>8.9050055895738893</v>
      </c>
    </row>
    <row r="384" spans="1:3" x14ac:dyDescent="0.45">
      <c r="A384">
        <v>354</v>
      </c>
      <c r="B384">
        <v>16.728215622677855</v>
      </c>
      <c r="C384">
        <v>-8.3282156226778543</v>
      </c>
    </row>
    <row r="385" spans="1:3" x14ac:dyDescent="0.45">
      <c r="A385">
        <v>355</v>
      </c>
      <c r="B385">
        <v>195.18043626322606</v>
      </c>
      <c r="C385">
        <v>13.319563736773944</v>
      </c>
    </row>
    <row r="386" spans="1:3" x14ac:dyDescent="0.45">
      <c r="A386">
        <v>356</v>
      </c>
      <c r="B386">
        <v>64.931498519197291</v>
      </c>
      <c r="C386">
        <v>-44.631498519197294</v>
      </c>
    </row>
    <row r="387" spans="1:3" x14ac:dyDescent="0.45">
      <c r="A387">
        <v>357</v>
      </c>
      <c r="B387">
        <v>130.47697127152924</v>
      </c>
      <c r="C387">
        <v>23.123028728470757</v>
      </c>
    </row>
    <row r="388" spans="1:3" x14ac:dyDescent="0.45">
      <c r="A388">
        <v>358</v>
      </c>
      <c r="B388">
        <v>42.72831315055064</v>
      </c>
      <c r="C388">
        <v>5.2716868494493596</v>
      </c>
    </row>
    <row r="389" spans="1:3" x14ac:dyDescent="0.45">
      <c r="A389">
        <v>359</v>
      </c>
      <c r="B389">
        <v>17.228957438367441</v>
      </c>
      <c r="C389">
        <v>-8.828957438367441</v>
      </c>
    </row>
    <row r="390" spans="1:3" x14ac:dyDescent="0.45">
      <c r="A390">
        <v>360</v>
      </c>
      <c r="B390">
        <v>79.933962063076592</v>
      </c>
      <c r="C390">
        <v>-49.933962063076592</v>
      </c>
    </row>
    <row r="391" spans="1:3" x14ac:dyDescent="0.45">
      <c r="A391">
        <v>361</v>
      </c>
      <c r="B391">
        <v>8.2444275500652573</v>
      </c>
      <c r="C391">
        <v>65.055572449934743</v>
      </c>
    </row>
    <row r="392" spans="1:3" x14ac:dyDescent="0.45">
      <c r="A392">
        <v>362</v>
      </c>
      <c r="B392">
        <v>26.759013665188924</v>
      </c>
      <c r="C392">
        <v>-17.959013665188923</v>
      </c>
    </row>
    <row r="393" spans="1:3" x14ac:dyDescent="0.45">
      <c r="A393">
        <v>363</v>
      </c>
      <c r="B393">
        <v>33.033403679426613</v>
      </c>
      <c r="C393">
        <v>-4.0334036794266126</v>
      </c>
    </row>
    <row r="394" spans="1:3" x14ac:dyDescent="0.45">
      <c r="A394">
        <v>364</v>
      </c>
      <c r="B394">
        <v>29.750655391900271</v>
      </c>
      <c r="C394">
        <v>-8.9506553919002698</v>
      </c>
    </row>
    <row r="395" spans="1:3" x14ac:dyDescent="0.45">
      <c r="A395">
        <v>365</v>
      </c>
      <c r="B395">
        <v>56.627746166240534</v>
      </c>
      <c r="C395">
        <v>-13.727746166240536</v>
      </c>
    </row>
    <row r="396" spans="1:3" x14ac:dyDescent="0.45">
      <c r="A396">
        <v>366</v>
      </c>
      <c r="B396">
        <v>360.83125414819472</v>
      </c>
      <c r="C396">
        <v>-269.03125414819471</v>
      </c>
    </row>
    <row r="397" spans="1:3" x14ac:dyDescent="0.45">
      <c r="A397">
        <v>367</v>
      </c>
      <c r="B397">
        <v>-3.6906686947019365</v>
      </c>
      <c r="C397">
        <v>22.190668694701937</v>
      </c>
    </row>
    <row r="398" spans="1:3" x14ac:dyDescent="0.45">
      <c r="A398">
        <v>368</v>
      </c>
      <c r="B398">
        <v>168.49155105145249</v>
      </c>
      <c r="C398">
        <v>37.808448948547522</v>
      </c>
    </row>
    <row r="399" spans="1:3" x14ac:dyDescent="0.45">
      <c r="A399">
        <v>369</v>
      </c>
      <c r="B399">
        <v>0.99022091874995566</v>
      </c>
      <c r="C399">
        <v>30.109779081250046</v>
      </c>
    </row>
    <row r="400" spans="1:3" x14ac:dyDescent="0.45">
      <c r="A400">
        <v>370</v>
      </c>
      <c r="B400">
        <v>44.398421393987476</v>
      </c>
      <c r="C400">
        <v>-12.398421393987476</v>
      </c>
    </row>
    <row r="401" spans="1:3" x14ac:dyDescent="0.45">
      <c r="A401">
        <v>371</v>
      </c>
      <c r="B401">
        <v>-6.2689349971695725</v>
      </c>
      <c r="C401">
        <v>53.368934997169575</v>
      </c>
    </row>
    <row r="402" spans="1:3" x14ac:dyDescent="0.45">
      <c r="A402">
        <v>372</v>
      </c>
      <c r="B402">
        <v>36.467047723617256</v>
      </c>
      <c r="C402">
        <v>-12.367047723617254</v>
      </c>
    </row>
    <row r="403" spans="1:3" x14ac:dyDescent="0.45">
      <c r="A403">
        <v>373</v>
      </c>
      <c r="B403">
        <v>51.099911732693236</v>
      </c>
      <c r="C403">
        <v>-18.799911732693239</v>
      </c>
    </row>
    <row r="404" spans="1:3" x14ac:dyDescent="0.45">
      <c r="A404">
        <v>374</v>
      </c>
      <c r="B404">
        <v>9.5865960936693249</v>
      </c>
      <c r="C404">
        <v>-0.78659609366932415</v>
      </c>
    </row>
    <row r="405" spans="1:3" x14ac:dyDescent="0.45">
      <c r="A405">
        <v>375</v>
      </c>
      <c r="B405">
        <v>27.601330927313914</v>
      </c>
      <c r="C405">
        <v>-16.101330927313914</v>
      </c>
    </row>
    <row r="406" spans="1:3" x14ac:dyDescent="0.45">
      <c r="A406">
        <v>376</v>
      </c>
      <c r="B406">
        <v>28.021900182440493</v>
      </c>
      <c r="C406">
        <v>-18.121900182440491</v>
      </c>
    </row>
    <row r="407" spans="1:3" x14ac:dyDescent="0.45">
      <c r="A407">
        <v>377</v>
      </c>
      <c r="B407">
        <v>47.262866006139177</v>
      </c>
      <c r="C407">
        <v>49.03713399386082</v>
      </c>
    </row>
    <row r="408" spans="1:3" x14ac:dyDescent="0.45">
      <c r="A408">
        <v>378</v>
      </c>
      <c r="B408">
        <v>9.8577745623622519</v>
      </c>
      <c r="C408">
        <v>-4.5577745623622521</v>
      </c>
    </row>
    <row r="409" spans="1:3" x14ac:dyDescent="0.45">
      <c r="A409">
        <v>379</v>
      </c>
      <c r="B409">
        <v>19.819004638159452</v>
      </c>
      <c r="C409">
        <v>-6.2190046381594524</v>
      </c>
    </row>
    <row r="410" spans="1:3" x14ac:dyDescent="0.45">
      <c r="A410">
        <v>380</v>
      </c>
      <c r="B410">
        <v>18.884452747387101</v>
      </c>
      <c r="C410">
        <v>-15.5844527473871</v>
      </c>
    </row>
    <row r="411" spans="1:3" x14ac:dyDescent="0.45">
      <c r="A411">
        <v>381</v>
      </c>
      <c r="B411">
        <v>8.1218124926673632</v>
      </c>
      <c r="C411">
        <v>5.0781875073326361</v>
      </c>
    </row>
    <row r="412" spans="1:3" x14ac:dyDescent="0.45">
      <c r="A412">
        <v>382</v>
      </c>
      <c r="B412">
        <v>65.257711593968224</v>
      </c>
      <c r="C412">
        <v>-6.157711593968223</v>
      </c>
    </row>
    <row r="413" spans="1:3" x14ac:dyDescent="0.45">
      <c r="A413">
        <v>383</v>
      </c>
      <c r="B413">
        <v>23.716852780614744</v>
      </c>
      <c r="C413">
        <v>-9.9168527806147431</v>
      </c>
    </row>
    <row r="414" spans="1:3" x14ac:dyDescent="0.45">
      <c r="A414">
        <v>384</v>
      </c>
      <c r="B414">
        <v>44.003388690798118</v>
      </c>
      <c r="C414">
        <v>-21.203388690798118</v>
      </c>
    </row>
    <row r="415" spans="1:3" x14ac:dyDescent="0.45">
      <c r="A415">
        <v>385</v>
      </c>
      <c r="B415">
        <v>20.294631465677607</v>
      </c>
      <c r="C415">
        <v>-10.394631465677607</v>
      </c>
    </row>
    <row r="416" spans="1:3" x14ac:dyDescent="0.45">
      <c r="A416">
        <v>386</v>
      </c>
      <c r="B416">
        <v>83.020952581869537</v>
      </c>
      <c r="C416">
        <v>-47.020952581869537</v>
      </c>
    </row>
    <row r="417" spans="1:3" x14ac:dyDescent="0.45">
      <c r="A417">
        <v>387</v>
      </c>
      <c r="B417">
        <v>0.33903763128150649</v>
      </c>
      <c r="C417">
        <v>21.160962368718494</v>
      </c>
    </row>
    <row r="418" spans="1:3" x14ac:dyDescent="0.45">
      <c r="A418">
        <v>388</v>
      </c>
      <c r="B418">
        <v>34.748355627259542</v>
      </c>
      <c r="C418">
        <v>-13.148355627259541</v>
      </c>
    </row>
    <row r="419" spans="1:3" x14ac:dyDescent="0.45">
      <c r="A419">
        <v>389</v>
      </c>
      <c r="B419">
        <v>24.306124618901805</v>
      </c>
      <c r="C419">
        <v>-11.106124618901806</v>
      </c>
    </row>
    <row r="420" spans="1:3" x14ac:dyDescent="0.45">
      <c r="A420">
        <v>390</v>
      </c>
      <c r="B420">
        <v>9.0660293060105488</v>
      </c>
      <c r="C420">
        <v>-2.0660293060105488</v>
      </c>
    </row>
    <row r="421" spans="1:3" x14ac:dyDescent="0.45">
      <c r="A421">
        <v>391</v>
      </c>
      <c r="B421">
        <v>38.133410439766749</v>
      </c>
      <c r="C421">
        <v>-14.033410439766747</v>
      </c>
    </row>
    <row r="422" spans="1:3" x14ac:dyDescent="0.45">
      <c r="A422">
        <v>392</v>
      </c>
      <c r="B422">
        <v>36.632179752537404</v>
      </c>
      <c r="C422">
        <v>-14.432179752537404</v>
      </c>
    </row>
    <row r="423" spans="1:3" x14ac:dyDescent="0.45">
      <c r="A423">
        <v>393</v>
      </c>
      <c r="B423">
        <v>56.947618125878861</v>
      </c>
      <c r="C423">
        <v>-29.747618125878862</v>
      </c>
    </row>
    <row r="424" spans="1:3" x14ac:dyDescent="0.45">
      <c r="A424">
        <v>394</v>
      </c>
      <c r="B424">
        <v>33.044759548303965</v>
      </c>
      <c r="C424">
        <v>-3.2447595483039642</v>
      </c>
    </row>
    <row r="425" spans="1:3" x14ac:dyDescent="0.45">
      <c r="A425">
        <v>395</v>
      </c>
      <c r="B425">
        <v>36.220203569962642</v>
      </c>
      <c r="C425">
        <v>-8.8202035699626435</v>
      </c>
    </row>
    <row r="426" spans="1:3" x14ac:dyDescent="0.45">
      <c r="A426">
        <v>396</v>
      </c>
      <c r="B426">
        <v>58.899881412152332</v>
      </c>
      <c r="C426">
        <v>-12.299881412152331</v>
      </c>
    </row>
    <row r="427" spans="1:3" x14ac:dyDescent="0.45">
      <c r="A427">
        <v>397</v>
      </c>
      <c r="B427">
        <v>99.638059022702137</v>
      </c>
      <c r="C427">
        <v>-20.138059022702137</v>
      </c>
    </row>
    <row r="428" spans="1:3" x14ac:dyDescent="0.45">
      <c r="A428">
        <v>398</v>
      </c>
      <c r="B428">
        <v>82.47628183933071</v>
      </c>
      <c r="C428">
        <v>-62.876281839330709</v>
      </c>
    </row>
    <row r="429" spans="1:3" x14ac:dyDescent="0.45">
      <c r="A429">
        <v>399</v>
      </c>
      <c r="B429">
        <v>-1.4099605998946798</v>
      </c>
      <c r="C429">
        <v>6.6099605998946798</v>
      </c>
    </row>
    <row r="430" spans="1:3" x14ac:dyDescent="0.45">
      <c r="A430">
        <v>400</v>
      </c>
      <c r="B430">
        <v>48.415040647953788</v>
      </c>
      <c r="C430">
        <v>48.084959352046212</v>
      </c>
    </row>
    <row r="431" spans="1:3" x14ac:dyDescent="0.45">
      <c r="A431">
        <v>401</v>
      </c>
      <c r="B431">
        <v>21.455125318894918</v>
      </c>
      <c r="C431">
        <v>-10.155125318894918</v>
      </c>
    </row>
    <row r="432" spans="1:3" x14ac:dyDescent="0.45">
      <c r="A432">
        <v>402</v>
      </c>
      <c r="B432">
        <v>11.181208690278746</v>
      </c>
      <c r="C432">
        <v>2.9187913097212537</v>
      </c>
    </row>
    <row r="433" spans="1:3" x14ac:dyDescent="0.45">
      <c r="A433">
        <v>403</v>
      </c>
      <c r="B433">
        <v>12.48158929231475</v>
      </c>
      <c r="C433">
        <v>-4.4815892923147498</v>
      </c>
    </row>
    <row r="434" spans="1:3" x14ac:dyDescent="0.45">
      <c r="A434">
        <v>404</v>
      </c>
      <c r="B434">
        <v>43.345539489877169</v>
      </c>
      <c r="C434">
        <v>-17.145539489877169</v>
      </c>
    </row>
    <row r="435" spans="1:3" x14ac:dyDescent="0.45">
      <c r="A435">
        <v>405</v>
      </c>
      <c r="B435">
        <v>65.485954644459099</v>
      </c>
      <c r="C435">
        <v>-27.785954644459096</v>
      </c>
    </row>
    <row r="436" spans="1:3" x14ac:dyDescent="0.45">
      <c r="A436">
        <v>406</v>
      </c>
      <c r="B436">
        <v>-3.5128875408695746</v>
      </c>
      <c r="C436">
        <v>6.5128875408695741</v>
      </c>
    </row>
    <row r="437" spans="1:3" x14ac:dyDescent="0.45">
      <c r="A437">
        <v>407</v>
      </c>
      <c r="B437">
        <v>60.169097401519238</v>
      </c>
      <c r="C437">
        <v>-12.069097401519237</v>
      </c>
    </row>
    <row r="438" spans="1:3" x14ac:dyDescent="0.45">
      <c r="A438">
        <v>408</v>
      </c>
      <c r="B438">
        <v>24.012630007429902</v>
      </c>
      <c r="C438">
        <v>-5.5126300074299017</v>
      </c>
    </row>
    <row r="439" spans="1:3" x14ac:dyDescent="0.45">
      <c r="A439">
        <v>409</v>
      </c>
      <c r="B439">
        <v>24.48720452610824</v>
      </c>
      <c r="C439">
        <v>-15.88720452610824</v>
      </c>
    </row>
    <row r="440" spans="1:3" x14ac:dyDescent="0.45">
      <c r="A440">
        <v>410</v>
      </c>
      <c r="B440">
        <v>21.613987662484828</v>
      </c>
      <c r="C440">
        <v>-12.113987662484828</v>
      </c>
    </row>
    <row r="441" spans="1:3" x14ac:dyDescent="0.45">
      <c r="A441">
        <v>411</v>
      </c>
      <c r="B441">
        <v>52.648341813497964</v>
      </c>
      <c r="C441">
        <v>-9.1483418134979644</v>
      </c>
    </row>
    <row r="442" spans="1:3" x14ac:dyDescent="0.45">
      <c r="A442">
        <v>412</v>
      </c>
      <c r="B442">
        <v>41.278182467043628</v>
      </c>
      <c r="C442">
        <v>-6.8781824670436293</v>
      </c>
    </row>
    <row r="443" spans="1:3" x14ac:dyDescent="0.45">
      <c r="A443">
        <v>413</v>
      </c>
      <c r="B443">
        <v>35.7327177516012</v>
      </c>
      <c r="C443">
        <v>-11.2327177516012</v>
      </c>
    </row>
    <row r="444" spans="1:3" x14ac:dyDescent="0.45">
      <c r="A444">
        <v>414</v>
      </c>
      <c r="B444">
        <v>78.751216360188025</v>
      </c>
      <c r="C444">
        <v>-2.2512163601880246</v>
      </c>
    </row>
    <row r="445" spans="1:3" x14ac:dyDescent="0.45">
      <c r="A445">
        <v>415</v>
      </c>
      <c r="B445">
        <v>8.5029688492647768</v>
      </c>
      <c r="C445">
        <v>29.597031150735226</v>
      </c>
    </row>
    <row r="446" spans="1:3" x14ac:dyDescent="0.45">
      <c r="A446">
        <v>416</v>
      </c>
      <c r="B446">
        <v>14.871428027364608</v>
      </c>
      <c r="C446">
        <v>-8.6714280273646089</v>
      </c>
    </row>
    <row r="447" spans="1:3" x14ac:dyDescent="0.45">
      <c r="A447">
        <v>417</v>
      </c>
      <c r="B447">
        <v>57.225264420263329</v>
      </c>
      <c r="C447">
        <v>0.27473557973667084</v>
      </c>
    </row>
    <row r="448" spans="1:3" x14ac:dyDescent="0.45">
      <c r="A448">
        <v>418</v>
      </c>
      <c r="B448">
        <v>1.6554161258264999</v>
      </c>
      <c r="C448">
        <v>30.844583874173502</v>
      </c>
    </row>
    <row r="449" spans="1:3" x14ac:dyDescent="0.45">
      <c r="A449">
        <v>419</v>
      </c>
      <c r="B449">
        <v>20.685467891507873</v>
      </c>
      <c r="C449">
        <v>-4.1854678915078729</v>
      </c>
    </row>
    <row r="450" spans="1:3" x14ac:dyDescent="0.45">
      <c r="A450">
        <v>420</v>
      </c>
      <c r="B450">
        <v>-0.59223442001186477</v>
      </c>
      <c r="C450">
        <v>29.492234420011862</v>
      </c>
    </row>
    <row r="451" spans="1:3" x14ac:dyDescent="0.45">
      <c r="A451">
        <v>421</v>
      </c>
      <c r="B451">
        <v>33.810572746757501</v>
      </c>
      <c r="C451">
        <v>-21.0105727467575</v>
      </c>
    </row>
    <row r="452" spans="1:3" x14ac:dyDescent="0.45">
      <c r="A452">
        <v>422</v>
      </c>
      <c r="B452">
        <v>32.280072215608477</v>
      </c>
      <c r="C452">
        <v>-1.8800722156084788</v>
      </c>
    </row>
    <row r="453" spans="1:3" x14ac:dyDescent="0.45">
      <c r="A453">
        <v>423</v>
      </c>
      <c r="B453">
        <v>37.019075231634737</v>
      </c>
      <c r="C453">
        <v>-11.219075231634736</v>
      </c>
    </row>
    <row r="454" spans="1:3" x14ac:dyDescent="0.45">
      <c r="A454">
        <v>424</v>
      </c>
      <c r="B454">
        <v>66.435500150304534</v>
      </c>
      <c r="C454">
        <v>-26.635500150304537</v>
      </c>
    </row>
    <row r="455" spans="1:3" x14ac:dyDescent="0.45">
      <c r="A455">
        <v>425</v>
      </c>
      <c r="B455">
        <v>36.120691107271952</v>
      </c>
      <c r="C455">
        <v>-1.1206911072719521</v>
      </c>
    </row>
    <row r="456" spans="1:3" x14ac:dyDescent="0.45">
      <c r="A456">
        <v>426</v>
      </c>
      <c r="B456">
        <v>8.4106876157413275</v>
      </c>
      <c r="C456">
        <v>5.7893123842586718</v>
      </c>
    </row>
    <row r="457" spans="1:3" x14ac:dyDescent="0.45">
      <c r="A457">
        <v>427</v>
      </c>
      <c r="B457">
        <v>84.093643527286787</v>
      </c>
      <c r="C457">
        <v>16.20635647271321</v>
      </c>
    </row>
    <row r="458" spans="1:3" x14ac:dyDescent="0.45">
      <c r="A458">
        <v>428</v>
      </c>
      <c r="B458">
        <v>24.485811156537839</v>
      </c>
      <c r="C458">
        <v>-9.185811156537838</v>
      </c>
    </row>
    <row r="459" spans="1:3" x14ac:dyDescent="0.45">
      <c r="A459">
        <v>429</v>
      </c>
      <c r="B459">
        <v>1.7292573544781142</v>
      </c>
      <c r="C459">
        <v>54.370742645521887</v>
      </c>
    </row>
    <row r="460" spans="1:3" x14ac:dyDescent="0.45">
      <c r="A460">
        <v>430</v>
      </c>
      <c r="B460">
        <v>25.994834858140386</v>
      </c>
      <c r="C460">
        <v>-9.4948348581403863</v>
      </c>
    </row>
    <row r="461" spans="1:3" x14ac:dyDescent="0.45">
      <c r="A461">
        <v>431</v>
      </c>
      <c r="B461">
        <v>45.114053335007895</v>
      </c>
      <c r="C461">
        <v>-33.814053335007898</v>
      </c>
    </row>
    <row r="462" spans="1:3" x14ac:dyDescent="0.45">
      <c r="A462">
        <v>432</v>
      </c>
      <c r="B462">
        <v>23.847615995836275</v>
      </c>
      <c r="C462">
        <v>-2.9476159958362764</v>
      </c>
    </row>
    <row r="463" spans="1:3" x14ac:dyDescent="0.45">
      <c r="A463">
        <v>433</v>
      </c>
      <c r="B463">
        <v>15.687352039762603</v>
      </c>
      <c r="C463">
        <v>-5.9873520397626034</v>
      </c>
    </row>
    <row r="464" spans="1:3" x14ac:dyDescent="0.45">
      <c r="A464">
        <v>434</v>
      </c>
      <c r="B464">
        <v>8.9044866658399595</v>
      </c>
      <c r="C464">
        <v>29.995513334160037</v>
      </c>
    </row>
    <row r="465" spans="1:3" x14ac:dyDescent="0.45">
      <c r="A465">
        <v>435</v>
      </c>
      <c r="B465">
        <v>131.2944247900306</v>
      </c>
      <c r="C465">
        <v>26.505575209969408</v>
      </c>
    </row>
    <row r="466" spans="1:3" x14ac:dyDescent="0.45">
      <c r="A466">
        <v>436</v>
      </c>
      <c r="B466">
        <v>81.231485231432544</v>
      </c>
      <c r="C466">
        <v>1.9685147685674593</v>
      </c>
    </row>
    <row r="467" spans="1:3" x14ac:dyDescent="0.45">
      <c r="A467">
        <v>437</v>
      </c>
      <c r="B467">
        <v>23.598478533582245</v>
      </c>
      <c r="C467">
        <v>-10.798478533582244</v>
      </c>
    </row>
    <row r="468" spans="1:3" x14ac:dyDescent="0.45">
      <c r="A468">
        <v>438</v>
      </c>
      <c r="B468">
        <v>78.102768466316206</v>
      </c>
      <c r="C468">
        <v>-3.9027684663162034</v>
      </c>
    </row>
    <row r="469" spans="1:3" x14ac:dyDescent="0.45">
      <c r="A469">
        <v>439</v>
      </c>
      <c r="B469">
        <v>51.362642437853623</v>
      </c>
      <c r="C469">
        <v>-3.16264243785362</v>
      </c>
    </row>
    <row r="470" spans="1:3" x14ac:dyDescent="0.45">
      <c r="A470">
        <v>440</v>
      </c>
      <c r="B470">
        <v>8.0547523349322745</v>
      </c>
      <c r="C470">
        <v>1.5452476650677252</v>
      </c>
    </row>
    <row r="471" spans="1:3" x14ac:dyDescent="0.45">
      <c r="A471">
        <v>441</v>
      </c>
      <c r="B471">
        <v>23.448153707636408</v>
      </c>
      <c r="C471">
        <v>-7.7481537076364084</v>
      </c>
    </row>
    <row r="472" spans="1:3" x14ac:dyDescent="0.45">
      <c r="A472">
        <v>442</v>
      </c>
      <c r="B472">
        <v>12.714280177414205</v>
      </c>
      <c r="C472">
        <v>-4.2142801774142047</v>
      </c>
    </row>
    <row r="473" spans="1:3" x14ac:dyDescent="0.45">
      <c r="A473">
        <v>443</v>
      </c>
      <c r="B473">
        <v>17.496504479286813</v>
      </c>
      <c r="C473">
        <v>-11.796504479286813</v>
      </c>
    </row>
    <row r="474" spans="1:3" x14ac:dyDescent="0.45">
      <c r="A474">
        <v>444</v>
      </c>
      <c r="B474">
        <v>54.789725676846871</v>
      </c>
      <c r="C474">
        <v>-10.789725676846871</v>
      </c>
    </row>
    <row r="475" spans="1:3" x14ac:dyDescent="0.45">
      <c r="A475">
        <v>445</v>
      </c>
      <c r="B475">
        <v>55.830175212899469</v>
      </c>
      <c r="C475">
        <v>10.269824787100525</v>
      </c>
    </row>
    <row r="476" spans="1:3" x14ac:dyDescent="0.45">
      <c r="A476">
        <v>446</v>
      </c>
      <c r="B476">
        <v>25.640543304463595</v>
      </c>
      <c r="C476">
        <v>1.3594566955364051</v>
      </c>
    </row>
    <row r="477" spans="1:3" x14ac:dyDescent="0.45">
      <c r="A477">
        <v>447</v>
      </c>
      <c r="B477">
        <v>1.6601363989483311</v>
      </c>
      <c r="C477">
        <v>89.239863601051681</v>
      </c>
    </row>
    <row r="478" spans="1:3" x14ac:dyDescent="0.45">
      <c r="A478">
        <v>448</v>
      </c>
      <c r="B478">
        <v>16.757890652520803</v>
      </c>
      <c r="C478">
        <v>-7.6578906525208037</v>
      </c>
    </row>
    <row r="479" spans="1:3" x14ac:dyDescent="0.45">
      <c r="A479">
        <v>449</v>
      </c>
      <c r="B479">
        <v>45.425648797730773</v>
      </c>
      <c r="C479">
        <v>-32.125648797730776</v>
      </c>
    </row>
    <row r="480" spans="1:3" x14ac:dyDescent="0.45">
      <c r="A480">
        <v>450</v>
      </c>
      <c r="B480">
        <v>7.9001487427254133</v>
      </c>
      <c r="C480">
        <v>-2.000148742725413</v>
      </c>
    </row>
    <row r="481" spans="1:3" x14ac:dyDescent="0.45">
      <c r="A481">
        <v>451</v>
      </c>
      <c r="B481">
        <v>7.153586381820511</v>
      </c>
      <c r="C481">
        <v>-1.7535863818205106</v>
      </c>
    </row>
    <row r="482" spans="1:3" x14ac:dyDescent="0.45">
      <c r="A482">
        <v>452</v>
      </c>
      <c r="B482">
        <v>53.48471055715509</v>
      </c>
      <c r="C482">
        <v>-34.084710557155091</v>
      </c>
    </row>
    <row r="483" spans="1:3" x14ac:dyDescent="0.45">
      <c r="A483">
        <v>453</v>
      </c>
      <c r="B483">
        <v>191.91134891391829</v>
      </c>
      <c r="C483">
        <v>26.888651086081722</v>
      </c>
    </row>
    <row r="484" spans="1:3" x14ac:dyDescent="0.45">
      <c r="A484">
        <v>454</v>
      </c>
      <c r="B484">
        <v>83.205051869159561</v>
      </c>
      <c r="C484">
        <v>13.194948130840444</v>
      </c>
    </row>
    <row r="485" spans="1:3" x14ac:dyDescent="0.45">
      <c r="A485">
        <v>455</v>
      </c>
      <c r="B485">
        <v>27.697636290390168</v>
      </c>
      <c r="C485">
        <v>-12.997636290390169</v>
      </c>
    </row>
    <row r="486" spans="1:3" x14ac:dyDescent="0.45">
      <c r="A486">
        <v>456</v>
      </c>
      <c r="B486">
        <v>115.15859197763649</v>
      </c>
      <c r="C486">
        <v>-9.7585919776364847</v>
      </c>
    </row>
    <row r="487" spans="1:3" x14ac:dyDescent="0.45">
      <c r="A487">
        <v>457</v>
      </c>
      <c r="B487">
        <v>24.726826157177971</v>
      </c>
      <c r="C487">
        <v>-13.626826157177971</v>
      </c>
    </row>
    <row r="488" spans="1:3" x14ac:dyDescent="0.45">
      <c r="A488">
        <v>458</v>
      </c>
      <c r="B488">
        <v>-4.2517681886664445</v>
      </c>
      <c r="C488">
        <v>15.551768188666445</v>
      </c>
    </row>
    <row r="489" spans="1:3" x14ac:dyDescent="0.45">
      <c r="A489">
        <v>459</v>
      </c>
      <c r="B489">
        <v>26.393960919357959</v>
      </c>
      <c r="C489">
        <v>5.4060390806420422</v>
      </c>
    </row>
    <row r="490" spans="1:3" x14ac:dyDescent="0.45">
      <c r="A490">
        <v>460</v>
      </c>
      <c r="B490">
        <v>42.41795695772209</v>
      </c>
      <c r="C490">
        <v>-3.1179569577220931</v>
      </c>
    </row>
    <row r="491" spans="1:3" x14ac:dyDescent="0.45">
      <c r="A491">
        <v>461</v>
      </c>
      <c r="B491">
        <v>28.391092787893779</v>
      </c>
      <c r="C491">
        <v>-17.69109278789378</v>
      </c>
    </row>
    <row r="492" spans="1:3" x14ac:dyDescent="0.45">
      <c r="A492">
        <v>462</v>
      </c>
      <c r="B492">
        <v>19.327660693608216</v>
      </c>
      <c r="C492">
        <v>-0.42766069360821746</v>
      </c>
    </row>
    <row r="493" spans="1:3" x14ac:dyDescent="0.45">
      <c r="A493">
        <v>463</v>
      </c>
      <c r="B493">
        <v>37.481411394842191</v>
      </c>
      <c r="C493">
        <v>-26.68141139484219</v>
      </c>
    </row>
    <row r="494" spans="1:3" x14ac:dyDescent="0.45">
      <c r="A494">
        <v>464</v>
      </c>
      <c r="B494">
        <v>33.53025700550382</v>
      </c>
      <c r="C494">
        <v>-17.930257005503819</v>
      </c>
    </row>
    <row r="495" spans="1:3" x14ac:dyDescent="0.45">
      <c r="A495">
        <v>465</v>
      </c>
      <c r="B495">
        <v>430.75395210726515</v>
      </c>
      <c r="C495">
        <v>-222.65395210726516</v>
      </c>
    </row>
    <row r="496" spans="1:3" x14ac:dyDescent="0.45">
      <c r="A496">
        <v>466</v>
      </c>
      <c r="B496">
        <v>76.561729793463698</v>
      </c>
      <c r="C496">
        <v>-37.161729793463699</v>
      </c>
    </row>
    <row r="497" spans="1:3" x14ac:dyDescent="0.45">
      <c r="A497">
        <v>467</v>
      </c>
      <c r="B497">
        <v>44.506155193906075</v>
      </c>
      <c r="C497">
        <v>-33.906155193906073</v>
      </c>
    </row>
    <row r="498" spans="1:3" x14ac:dyDescent="0.45">
      <c r="A498">
        <v>468</v>
      </c>
      <c r="B498">
        <v>162.20133456755752</v>
      </c>
      <c r="C498">
        <v>107.79866543244248</v>
      </c>
    </row>
    <row r="499" spans="1:3" x14ac:dyDescent="0.45">
      <c r="A499">
        <v>469</v>
      </c>
      <c r="B499">
        <v>3.5109045039370899</v>
      </c>
      <c r="C499">
        <v>9.2890954960629113</v>
      </c>
    </row>
    <row r="500" spans="1:3" x14ac:dyDescent="0.45">
      <c r="A500">
        <v>470</v>
      </c>
      <c r="B500">
        <v>35.90522479145659</v>
      </c>
      <c r="C500">
        <v>-18.90522479145659</v>
      </c>
    </row>
    <row r="501" spans="1:3" x14ac:dyDescent="0.45">
      <c r="A501">
        <v>471</v>
      </c>
      <c r="B501">
        <v>308.18885985209124</v>
      </c>
      <c r="C501">
        <v>-3.4888598520912524</v>
      </c>
    </row>
    <row r="502" spans="1:3" x14ac:dyDescent="0.45">
      <c r="A502">
        <v>472</v>
      </c>
      <c r="B502">
        <v>69.995054198076886</v>
      </c>
      <c r="C502">
        <v>0.90494580192311957</v>
      </c>
    </row>
    <row r="503" spans="1:3" x14ac:dyDescent="0.45">
      <c r="A503">
        <v>473</v>
      </c>
      <c r="B503">
        <v>48.558328752274633</v>
      </c>
      <c r="C503">
        <v>-13.058328752274633</v>
      </c>
    </row>
    <row r="504" spans="1:3" x14ac:dyDescent="0.45">
      <c r="A504">
        <v>474</v>
      </c>
      <c r="B504">
        <v>57.882775587886002</v>
      </c>
      <c r="C504">
        <v>-41.782775587886</v>
      </c>
    </row>
    <row r="505" spans="1:3" x14ac:dyDescent="0.45">
      <c r="A505">
        <v>475</v>
      </c>
      <c r="B505">
        <v>24.876729589953083</v>
      </c>
      <c r="C505">
        <v>-5.9767295899530843</v>
      </c>
    </row>
    <row r="506" spans="1:3" x14ac:dyDescent="0.45">
      <c r="A506">
        <v>476</v>
      </c>
      <c r="B506">
        <v>-1.3160630785842564</v>
      </c>
      <c r="C506">
        <v>282.81606307858425</v>
      </c>
    </row>
    <row r="507" spans="1:3" x14ac:dyDescent="0.45">
      <c r="A507">
        <v>477</v>
      </c>
      <c r="B507">
        <v>17.216069387147499</v>
      </c>
      <c r="C507">
        <v>3.6839306128524996</v>
      </c>
    </row>
    <row r="508" spans="1:3" x14ac:dyDescent="0.45">
      <c r="A508">
        <v>478</v>
      </c>
      <c r="B508">
        <v>59.979619795756257</v>
      </c>
      <c r="C508">
        <v>-35.179619795756253</v>
      </c>
    </row>
    <row r="509" spans="1:3" x14ac:dyDescent="0.45">
      <c r="A509">
        <v>479</v>
      </c>
      <c r="B509">
        <v>2.8365224640840681</v>
      </c>
      <c r="C509">
        <v>6.1634775359159324</v>
      </c>
    </row>
    <row r="510" spans="1:3" x14ac:dyDescent="0.45">
      <c r="A510">
        <v>480</v>
      </c>
      <c r="B510">
        <v>24.613446193174894</v>
      </c>
      <c r="C510">
        <v>-8.2134461931748959</v>
      </c>
    </row>
    <row r="511" spans="1:3" x14ac:dyDescent="0.45">
      <c r="A511">
        <v>481</v>
      </c>
      <c r="B511">
        <v>16.434332074214584</v>
      </c>
      <c r="C511">
        <v>9.6656679257854172</v>
      </c>
    </row>
    <row r="512" spans="1:3" x14ac:dyDescent="0.45">
      <c r="A512">
        <v>482</v>
      </c>
      <c r="B512">
        <v>37.268321311294123</v>
      </c>
      <c r="C512">
        <v>-25.068321311294124</v>
      </c>
    </row>
    <row r="513" spans="1:3" x14ac:dyDescent="0.45">
      <c r="A513">
        <v>483</v>
      </c>
      <c r="B513">
        <v>45.623448433065541</v>
      </c>
      <c r="C513">
        <v>-20.82344843306554</v>
      </c>
    </row>
    <row r="514" spans="1:3" x14ac:dyDescent="0.45">
      <c r="A514">
        <v>484</v>
      </c>
      <c r="B514">
        <v>40.455182992564694</v>
      </c>
      <c r="C514">
        <v>-19.655182992564693</v>
      </c>
    </row>
    <row r="515" spans="1:3" x14ac:dyDescent="0.45">
      <c r="A515">
        <v>485</v>
      </c>
      <c r="B515">
        <v>22.126354180284448</v>
      </c>
      <c r="C515">
        <v>-10.126354180284448</v>
      </c>
    </row>
    <row r="516" spans="1:3" x14ac:dyDescent="0.45">
      <c r="A516">
        <v>486</v>
      </c>
      <c r="B516">
        <v>36.589783320404734</v>
      </c>
      <c r="C516">
        <v>-18.389783320404735</v>
      </c>
    </row>
    <row r="517" spans="1:3" x14ac:dyDescent="0.45">
      <c r="A517">
        <v>487</v>
      </c>
      <c r="B517">
        <v>36.985028676791103</v>
      </c>
      <c r="C517">
        <v>-15.385028676791102</v>
      </c>
    </row>
    <row r="518" spans="1:3" x14ac:dyDescent="0.45">
      <c r="A518">
        <v>488</v>
      </c>
      <c r="B518">
        <v>8.9264325449159383</v>
      </c>
      <c r="C518">
        <v>-1.0264325449159379</v>
      </c>
    </row>
    <row r="519" spans="1:3" x14ac:dyDescent="0.45">
      <c r="A519">
        <v>489</v>
      </c>
      <c r="B519">
        <v>19.927223005405295</v>
      </c>
      <c r="C519">
        <v>-2.827223005405294</v>
      </c>
    </row>
    <row r="520" spans="1:3" x14ac:dyDescent="0.45">
      <c r="A520">
        <v>490</v>
      </c>
      <c r="B520">
        <v>5.4392149369434453</v>
      </c>
      <c r="C520">
        <v>5.3607850630565554</v>
      </c>
    </row>
    <row r="521" spans="1:3" x14ac:dyDescent="0.45">
      <c r="A521">
        <v>491</v>
      </c>
      <c r="B521">
        <v>19.128357523619837</v>
      </c>
      <c r="C521">
        <v>-6.2283575236198363</v>
      </c>
    </row>
    <row r="522" spans="1:3" x14ac:dyDescent="0.45">
      <c r="A522">
        <v>492</v>
      </c>
      <c r="B522">
        <v>34.745382753970148</v>
      </c>
      <c r="C522">
        <v>-7.7453827539701479</v>
      </c>
    </row>
    <row r="523" spans="1:3" x14ac:dyDescent="0.45">
      <c r="A523">
        <v>493</v>
      </c>
      <c r="B523">
        <v>24.456948585379255</v>
      </c>
      <c r="C523">
        <v>4.3051414620745021E-2</v>
      </c>
    </row>
    <row r="524" spans="1:3" x14ac:dyDescent="0.45">
      <c r="A524">
        <v>494</v>
      </c>
      <c r="B524">
        <v>5.1302664824261788</v>
      </c>
      <c r="C524">
        <v>5.5697335175738205</v>
      </c>
    </row>
    <row r="525" spans="1:3" ht="14.65" thickBot="1" x14ac:dyDescent="0.5">
      <c r="A525" s="6">
        <v>495</v>
      </c>
      <c r="B525" s="6">
        <v>38.322464049447099</v>
      </c>
      <c r="C525" s="6">
        <v>-2.3224640494470989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2F0E6-9ED5-4F56-97B3-B075F94970CD}">
  <dimension ref="A1:I523"/>
  <sheetViews>
    <sheetView workbookViewId="0">
      <selection activeCell="B29" sqref="B29:B523"/>
    </sheetView>
  </sheetViews>
  <sheetFormatPr defaultRowHeight="14.25" x14ac:dyDescent="0.45"/>
  <cols>
    <col min="1" max="1" width="16.53125" bestFit="1" customWidth="1"/>
  </cols>
  <sheetData>
    <row r="1" spans="1:9" x14ac:dyDescent="0.45">
      <c r="A1" t="s">
        <v>1548</v>
      </c>
    </row>
    <row r="2" spans="1:9" ht="14.65" thickBot="1" x14ac:dyDescent="0.5"/>
    <row r="3" spans="1:9" x14ac:dyDescent="0.45">
      <c r="A3" s="8" t="s">
        <v>1549</v>
      </c>
      <c r="B3" s="8"/>
    </row>
    <row r="4" spans="1:9" x14ac:dyDescent="0.45">
      <c r="A4" t="s">
        <v>1550</v>
      </c>
      <c r="B4">
        <v>0.83106504387561164</v>
      </c>
    </row>
    <row r="5" spans="1:9" x14ac:dyDescent="0.45">
      <c r="A5" t="s">
        <v>1551</v>
      </c>
      <c r="B5">
        <v>0.69066910715197238</v>
      </c>
    </row>
    <row r="6" spans="1:9" x14ac:dyDescent="0.45">
      <c r="A6" t="s">
        <v>1552</v>
      </c>
      <c r="B6">
        <v>0.68750621458706418</v>
      </c>
    </row>
    <row r="7" spans="1:9" x14ac:dyDescent="0.45">
      <c r="A7" t="s">
        <v>1553</v>
      </c>
      <c r="B7">
        <v>50.697033387996335</v>
      </c>
    </row>
    <row r="8" spans="1:9" ht="14.65" thickBot="1" x14ac:dyDescent="0.5">
      <c r="A8" s="6" t="s">
        <v>1554</v>
      </c>
      <c r="B8" s="6">
        <v>495</v>
      </c>
    </row>
    <row r="10" spans="1:9" ht="14.65" thickBot="1" x14ac:dyDescent="0.5">
      <c r="A10" t="s">
        <v>1555</v>
      </c>
    </row>
    <row r="11" spans="1:9" x14ac:dyDescent="0.45">
      <c r="A11" s="7"/>
      <c r="B11" s="7" t="s">
        <v>1560</v>
      </c>
      <c r="C11" s="7" t="s">
        <v>1561</v>
      </c>
      <c r="D11" s="7" t="s">
        <v>984</v>
      </c>
      <c r="E11" s="7" t="s">
        <v>627</v>
      </c>
      <c r="F11" s="7" t="s">
        <v>1562</v>
      </c>
    </row>
    <row r="12" spans="1:9" x14ac:dyDescent="0.45">
      <c r="A12" t="s">
        <v>1556</v>
      </c>
      <c r="B12">
        <v>5</v>
      </c>
      <c r="C12">
        <v>2806213.3626730414</v>
      </c>
      <c r="D12">
        <v>561242.67253460828</v>
      </c>
      <c r="E12">
        <v>218.36628749734533</v>
      </c>
      <c r="F12">
        <v>4.2725988980601085E-122</v>
      </c>
    </row>
    <row r="13" spans="1:9" x14ac:dyDescent="0.45">
      <c r="A13" t="s">
        <v>1557</v>
      </c>
      <c r="B13">
        <v>489</v>
      </c>
      <c r="C13">
        <v>1256822.5160340278</v>
      </c>
      <c r="D13">
        <v>2570.1891943436153</v>
      </c>
    </row>
    <row r="14" spans="1:9" ht="14.65" thickBot="1" x14ac:dyDescent="0.5">
      <c r="A14" s="6" t="s">
        <v>1558</v>
      </c>
      <c r="B14" s="6">
        <v>494</v>
      </c>
      <c r="C14" s="6">
        <v>4063035.878707069</v>
      </c>
      <c r="D14" s="6"/>
      <c r="E14" s="6"/>
      <c r="F14" s="6"/>
    </row>
    <row r="15" spans="1:9" ht="14.65" thickBot="1" x14ac:dyDescent="0.5"/>
    <row r="16" spans="1:9" x14ac:dyDescent="0.45">
      <c r="A16" s="7"/>
      <c r="B16" s="7" t="s">
        <v>1563</v>
      </c>
      <c r="C16" s="7" t="s">
        <v>1553</v>
      </c>
      <c r="D16" s="7" t="s">
        <v>1564</v>
      </c>
      <c r="E16" s="7" t="s">
        <v>1565</v>
      </c>
      <c r="F16" s="7" t="s">
        <v>1566</v>
      </c>
      <c r="G16" s="7" t="s">
        <v>1567</v>
      </c>
      <c r="H16" s="7" t="s">
        <v>1568</v>
      </c>
      <c r="I16" s="7" t="s">
        <v>1569</v>
      </c>
    </row>
    <row r="17" spans="1:9" x14ac:dyDescent="0.45">
      <c r="A17" t="s">
        <v>1559</v>
      </c>
      <c r="B17">
        <v>-7.8010121190099682</v>
      </c>
      <c r="C17">
        <v>4.0598035573833489</v>
      </c>
      <c r="D17">
        <v>-1.9215245291419785</v>
      </c>
      <c r="E17">
        <v>5.5246514036811786E-2</v>
      </c>
      <c r="F17">
        <v>-15.777824089974212</v>
      </c>
      <c r="G17">
        <v>0.17579985195427561</v>
      </c>
      <c r="H17">
        <v>-15.777824089974212</v>
      </c>
      <c r="I17">
        <v>0.17579985195427561</v>
      </c>
    </row>
    <row r="18" spans="1:9" x14ac:dyDescent="0.45">
      <c r="A18" t="s">
        <v>15</v>
      </c>
      <c r="B18">
        <v>9.6990411143965449</v>
      </c>
      <c r="C18">
        <v>0.33895976998499083</v>
      </c>
      <c r="D18">
        <v>28.614136464707947</v>
      </c>
      <c r="E18">
        <v>1.59372987622933E-106</v>
      </c>
      <c r="F18">
        <v>9.0330437791377314</v>
      </c>
      <c r="G18">
        <v>10.365038449655358</v>
      </c>
      <c r="H18">
        <v>9.0330437791377314</v>
      </c>
      <c r="I18">
        <v>10.365038449655358</v>
      </c>
    </row>
    <row r="19" spans="1:9" x14ac:dyDescent="0.45">
      <c r="A19" t="s">
        <v>6</v>
      </c>
      <c r="B19">
        <v>-2.3740190704236865</v>
      </c>
      <c r="C19">
        <v>0.53510534537150189</v>
      </c>
      <c r="D19">
        <v>-4.4365452353601542</v>
      </c>
      <c r="E19">
        <v>1.13032674200292E-5</v>
      </c>
      <c r="F19">
        <v>-3.4254085439176878</v>
      </c>
      <c r="G19">
        <v>-1.3226295969296853</v>
      </c>
      <c r="H19">
        <v>-3.4254085439176878</v>
      </c>
      <c r="I19">
        <v>-1.3226295969296853</v>
      </c>
    </row>
    <row r="20" spans="1:9" x14ac:dyDescent="0.45">
      <c r="A20" t="s">
        <v>3</v>
      </c>
      <c r="B20">
        <v>0.23035635327587708</v>
      </c>
      <c r="C20">
        <v>2.2602643290947175E-2</v>
      </c>
      <c r="D20">
        <v>10.191566991111149</v>
      </c>
      <c r="E20" s="9">
        <v>3.0130636068565901E-22</v>
      </c>
      <c r="F20">
        <v>0.18594606764745908</v>
      </c>
      <c r="G20">
        <v>0.27476663890429509</v>
      </c>
      <c r="H20">
        <v>0.18594606764745908</v>
      </c>
      <c r="I20">
        <v>0.27476663890429509</v>
      </c>
    </row>
    <row r="21" spans="1:9" x14ac:dyDescent="0.45">
      <c r="A21" t="s">
        <v>11</v>
      </c>
      <c r="B21">
        <v>1.1276243572487412</v>
      </c>
      <c r="C21">
        <v>0.68517642384243516</v>
      </c>
      <c r="D21">
        <v>1.6457430787315772</v>
      </c>
      <c r="E21">
        <v>0.10045921703836359</v>
      </c>
      <c r="F21">
        <v>-0.21862883522136012</v>
      </c>
      <c r="G21">
        <v>2.4738775497188428</v>
      </c>
      <c r="H21">
        <v>-0.21862883522136012</v>
      </c>
      <c r="I21">
        <v>2.4738775497188428</v>
      </c>
    </row>
    <row r="22" spans="1:9" ht="14.65" thickBot="1" x14ac:dyDescent="0.5">
      <c r="A22" s="6" t="s">
        <v>4</v>
      </c>
      <c r="B22" s="6">
        <v>0.12637152403130583</v>
      </c>
      <c r="C22" s="6">
        <v>5.8225173645615545E-2</v>
      </c>
      <c r="D22" s="6">
        <v>2.1703932529331635</v>
      </c>
      <c r="E22" s="6">
        <v>3.0457623691349443E-2</v>
      </c>
      <c r="F22" s="6">
        <v>1.196912608691636E-2</v>
      </c>
      <c r="G22" s="6">
        <v>0.2407739219756953</v>
      </c>
      <c r="H22" s="6">
        <v>1.196912608691636E-2</v>
      </c>
      <c r="I22" s="6">
        <v>0.2407739219756953</v>
      </c>
    </row>
    <row r="26" spans="1:9" x14ac:dyDescent="0.45">
      <c r="A26" t="s">
        <v>1570</v>
      </c>
    </row>
    <row r="27" spans="1:9" ht="14.65" thickBot="1" x14ac:dyDescent="0.5"/>
    <row r="28" spans="1:9" x14ac:dyDescent="0.45">
      <c r="A28" s="7" t="s">
        <v>1571</v>
      </c>
      <c r="B28" s="7" t="s">
        <v>1572</v>
      </c>
      <c r="C28" s="7" t="s">
        <v>1573</v>
      </c>
    </row>
    <row r="29" spans="1:9" x14ac:dyDescent="0.45">
      <c r="A29">
        <v>1</v>
      </c>
      <c r="B29">
        <v>120.05492237990012</v>
      </c>
      <c r="C29">
        <v>18.645077620099869</v>
      </c>
    </row>
    <row r="30" spans="1:9" x14ac:dyDescent="0.45">
      <c r="A30">
        <v>2</v>
      </c>
      <c r="B30">
        <v>15.399121627034635</v>
      </c>
      <c r="C30">
        <v>-4.5991216270346342</v>
      </c>
    </row>
    <row r="31" spans="1:9" x14ac:dyDescent="0.45">
      <c r="A31">
        <v>3</v>
      </c>
      <c r="B31">
        <v>66.890909086369987</v>
      </c>
      <c r="C31">
        <v>35.209090913630007</v>
      </c>
    </row>
    <row r="32" spans="1:9" x14ac:dyDescent="0.45">
      <c r="A32">
        <v>4</v>
      </c>
      <c r="B32">
        <v>118.82504580735514</v>
      </c>
      <c r="C32">
        <v>62.574954192644867</v>
      </c>
    </row>
    <row r="33" spans="1:3" x14ac:dyDescent="0.45">
      <c r="A33">
        <v>5</v>
      </c>
      <c r="B33">
        <v>74.42503758546097</v>
      </c>
      <c r="C33">
        <v>24.374962414539027</v>
      </c>
    </row>
    <row r="34" spans="1:3" x14ac:dyDescent="0.45">
      <c r="A34">
        <v>6</v>
      </c>
      <c r="B34">
        <v>46.477943060038186</v>
      </c>
      <c r="C34">
        <v>6.0220569399618142</v>
      </c>
    </row>
    <row r="35" spans="1:3" x14ac:dyDescent="0.45">
      <c r="A35">
        <v>7</v>
      </c>
      <c r="B35">
        <v>18.202534699276406</v>
      </c>
      <c r="C35">
        <v>-12.002534699276406</v>
      </c>
    </row>
    <row r="36" spans="1:3" x14ac:dyDescent="0.45">
      <c r="A36">
        <v>8</v>
      </c>
      <c r="B36">
        <v>72.425723294708845</v>
      </c>
      <c r="C36">
        <v>22.174276705291149</v>
      </c>
    </row>
    <row r="37" spans="1:3" x14ac:dyDescent="0.45">
      <c r="A37">
        <v>9</v>
      </c>
      <c r="B37">
        <v>15.230548591865805</v>
      </c>
      <c r="C37">
        <v>-7.1305485918658054</v>
      </c>
    </row>
    <row r="38" spans="1:3" x14ac:dyDescent="0.45">
      <c r="A38">
        <v>10</v>
      </c>
      <c r="B38">
        <v>23.631933140805256</v>
      </c>
      <c r="C38">
        <v>-12.431933140805256</v>
      </c>
    </row>
    <row r="39" spans="1:3" x14ac:dyDescent="0.45">
      <c r="A39">
        <v>11</v>
      </c>
      <c r="B39">
        <v>29.699153177265945</v>
      </c>
      <c r="C39">
        <v>-22.799153177265943</v>
      </c>
    </row>
    <row r="40" spans="1:3" x14ac:dyDescent="0.45">
      <c r="A40">
        <v>12</v>
      </c>
      <c r="B40">
        <v>62.725469196380566</v>
      </c>
      <c r="C40">
        <v>-3.5254691963805627</v>
      </c>
    </row>
    <row r="41" spans="1:3" x14ac:dyDescent="0.45">
      <c r="A41">
        <v>13</v>
      </c>
      <c r="B41">
        <v>24.136433454930103</v>
      </c>
      <c r="C41">
        <v>-13.736433454930102</v>
      </c>
    </row>
    <row r="42" spans="1:3" x14ac:dyDescent="0.45">
      <c r="A42">
        <v>14</v>
      </c>
      <c r="B42">
        <v>-11.475157808937835</v>
      </c>
      <c r="C42">
        <v>44.875157808937836</v>
      </c>
    </row>
    <row r="43" spans="1:3" x14ac:dyDescent="0.45">
      <c r="A43">
        <v>15</v>
      </c>
      <c r="B43">
        <v>23.658371978320851</v>
      </c>
      <c r="C43">
        <v>-1.6583719783208508</v>
      </c>
    </row>
    <row r="44" spans="1:3" x14ac:dyDescent="0.45">
      <c r="A44">
        <v>16</v>
      </c>
      <c r="B44">
        <v>26.918376416072675</v>
      </c>
      <c r="C44">
        <v>7.6816235839273261</v>
      </c>
    </row>
    <row r="45" spans="1:3" x14ac:dyDescent="0.45">
      <c r="A45">
        <v>17</v>
      </c>
      <c r="B45">
        <v>20.818936909342234</v>
      </c>
      <c r="C45">
        <v>-9.9189369093422339</v>
      </c>
    </row>
    <row r="46" spans="1:3" x14ac:dyDescent="0.45">
      <c r="A46">
        <v>18</v>
      </c>
      <c r="B46">
        <v>6.1084446649691984</v>
      </c>
      <c r="C46">
        <v>1.791555335030802</v>
      </c>
    </row>
    <row r="47" spans="1:3" x14ac:dyDescent="0.45">
      <c r="A47">
        <v>19</v>
      </c>
      <c r="B47">
        <v>19.121232722471607</v>
      </c>
      <c r="C47">
        <v>-7.3212327224716063</v>
      </c>
    </row>
    <row r="48" spans="1:3" x14ac:dyDescent="0.45">
      <c r="A48">
        <v>20</v>
      </c>
      <c r="B48">
        <v>29.102068539119756</v>
      </c>
      <c r="C48">
        <v>-17.102068539119756</v>
      </c>
    </row>
    <row r="49" spans="1:3" x14ac:dyDescent="0.45">
      <c r="A49">
        <v>21</v>
      </c>
      <c r="B49">
        <v>37.416735872371596</v>
      </c>
      <c r="C49">
        <v>-11.216735872371597</v>
      </c>
    </row>
    <row r="50" spans="1:3" x14ac:dyDescent="0.45">
      <c r="A50">
        <v>22</v>
      </c>
      <c r="B50">
        <v>62.145357773078359</v>
      </c>
      <c r="C50">
        <v>-43.345357773078362</v>
      </c>
    </row>
    <row r="51" spans="1:3" x14ac:dyDescent="0.45">
      <c r="A51">
        <v>23</v>
      </c>
      <c r="B51">
        <v>16.705463980431357</v>
      </c>
      <c r="C51">
        <v>-9.1054639804313577</v>
      </c>
    </row>
    <row r="52" spans="1:3" x14ac:dyDescent="0.45">
      <c r="A52">
        <v>24</v>
      </c>
      <c r="B52">
        <v>-82.366213683935882</v>
      </c>
      <c r="C52">
        <v>139.06621368393587</v>
      </c>
    </row>
    <row r="53" spans="1:3" x14ac:dyDescent="0.45">
      <c r="A53">
        <v>25</v>
      </c>
      <c r="B53">
        <v>38.039974614602833</v>
      </c>
      <c r="C53">
        <v>-24.439974614602832</v>
      </c>
    </row>
    <row r="54" spans="1:3" x14ac:dyDescent="0.45">
      <c r="A54">
        <v>26</v>
      </c>
      <c r="B54">
        <v>14.857180599596848</v>
      </c>
      <c r="C54">
        <v>-6.1571805995968489</v>
      </c>
    </row>
    <row r="55" spans="1:3" x14ac:dyDescent="0.45">
      <c r="A55">
        <v>27</v>
      </c>
      <c r="B55">
        <v>4.8729549477371528</v>
      </c>
      <c r="C55">
        <v>29.927045052262844</v>
      </c>
    </row>
    <row r="56" spans="1:3" x14ac:dyDescent="0.45">
      <c r="A56">
        <v>28</v>
      </c>
      <c r="B56">
        <v>514.81711920085991</v>
      </c>
      <c r="C56">
        <v>218.98288079914005</v>
      </c>
    </row>
    <row r="57" spans="1:3" x14ac:dyDescent="0.45">
      <c r="A57">
        <v>29</v>
      </c>
      <c r="B57">
        <v>499.92323974549311</v>
      </c>
      <c r="C57">
        <v>228.57676025450689</v>
      </c>
    </row>
    <row r="58" spans="1:3" x14ac:dyDescent="0.45">
      <c r="A58">
        <v>30</v>
      </c>
      <c r="B58">
        <v>107.06094465520091</v>
      </c>
      <c r="C58">
        <v>19.939055344799087</v>
      </c>
    </row>
    <row r="59" spans="1:3" x14ac:dyDescent="0.45">
      <c r="A59">
        <v>31</v>
      </c>
      <c r="B59">
        <v>486.68027862015481</v>
      </c>
      <c r="C59">
        <v>199.21972137984517</v>
      </c>
    </row>
    <row r="60" spans="1:3" x14ac:dyDescent="0.45">
      <c r="A60">
        <v>32</v>
      </c>
      <c r="B60">
        <v>25.871130195272364</v>
      </c>
      <c r="C60">
        <v>-12.971130195272364</v>
      </c>
    </row>
    <row r="61" spans="1:3" x14ac:dyDescent="0.45">
      <c r="A61">
        <v>33</v>
      </c>
      <c r="B61">
        <v>52.274212642372035</v>
      </c>
      <c r="C61">
        <v>-27.674212642372034</v>
      </c>
    </row>
    <row r="62" spans="1:3" x14ac:dyDescent="0.45">
      <c r="A62">
        <v>34</v>
      </c>
      <c r="B62">
        <v>52.789461631052461</v>
      </c>
      <c r="C62">
        <v>-21.089461631052462</v>
      </c>
    </row>
    <row r="63" spans="1:3" x14ac:dyDescent="0.45">
      <c r="A63">
        <v>35</v>
      </c>
      <c r="B63">
        <v>10.123324233653717</v>
      </c>
      <c r="C63">
        <v>70.276675766346287</v>
      </c>
    </row>
    <row r="64" spans="1:3" x14ac:dyDescent="0.45">
      <c r="A64">
        <v>36</v>
      </c>
      <c r="B64">
        <v>12.018847003158124</v>
      </c>
      <c r="C64">
        <v>42.381152996841877</v>
      </c>
    </row>
    <row r="65" spans="1:3" x14ac:dyDescent="0.45">
      <c r="A65">
        <v>37</v>
      </c>
      <c r="B65">
        <v>71.240363822076944</v>
      </c>
      <c r="C65">
        <v>-12.040363822076941</v>
      </c>
    </row>
    <row r="66" spans="1:3" x14ac:dyDescent="0.45">
      <c r="A66">
        <v>38</v>
      </c>
      <c r="B66">
        <v>29.541954292646071</v>
      </c>
      <c r="C66">
        <v>-15.641954292646071</v>
      </c>
    </row>
    <row r="67" spans="1:3" x14ac:dyDescent="0.45">
      <c r="A67">
        <v>39</v>
      </c>
      <c r="B67">
        <v>8.6839683558967877</v>
      </c>
      <c r="C67">
        <v>14.816031644103212</v>
      </c>
    </row>
    <row r="68" spans="1:3" x14ac:dyDescent="0.45">
      <c r="A68">
        <v>40</v>
      </c>
      <c r="B68">
        <v>21.253747974755438</v>
      </c>
      <c r="C68">
        <v>-0.65374797475543645</v>
      </c>
    </row>
    <row r="69" spans="1:3" x14ac:dyDescent="0.45">
      <c r="A69">
        <v>41</v>
      </c>
      <c r="B69">
        <v>19.532532720489396</v>
      </c>
      <c r="C69">
        <v>-2.4325327204893945</v>
      </c>
    </row>
    <row r="70" spans="1:3" x14ac:dyDescent="0.45">
      <c r="A70">
        <v>42</v>
      </c>
      <c r="B70">
        <v>149.42882113332453</v>
      </c>
      <c r="C70">
        <v>-21.328821133324539</v>
      </c>
    </row>
    <row r="71" spans="1:3" x14ac:dyDescent="0.45">
      <c r="A71">
        <v>43</v>
      </c>
      <c r="B71">
        <v>30.893896863940562</v>
      </c>
      <c r="C71">
        <v>-3.8938968639405616</v>
      </c>
    </row>
    <row r="72" spans="1:3" x14ac:dyDescent="0.45">
      <c r="A72">
        <v>44</v>
      </c>
      <c r="B72">
        <v>51.002968038667696</v>
      </c>
      <c r="C72">
        <v>-18.902968038667694</v>
      </c>
    </row>
    <row r="73" spans="1:3" x14ac:dyDescent="0.45">
      <c r="A73">
        <v>45</v>
      </c>
      <c r="B73">
        <v>33.982429524579643</v>
      </c>
      <c r="C73">
        <v>-2.1824295245796428</v>
      </c>
    </row>
    <row r="74" spans="1:3" x14ac:dyDescent="0.45">
      <c r="A74">
        <v>46</v>
      </c>
      <c r="B74">
        <v>27.334922024453721</v>
      </c>
      <c r="C74">
        <v>-11.634922024453722</v>
      </c>
    </row>
    <row r="75" spans="1:3" x14ac:dyDescent="0.45">
      <c r="A75">
        <v>47</v>
      </c>
      <c r="B75">
        <v>48.570211324420448</v>
      </c>
      <c r="C75">
        <v>-35.370211324420453</v>
      </c>
    </row>
    <row r="76" spans="1:3" x14ac:dyDescent="0.45">
      <c r="A76">
        <v>48</v>
      </c>
      <c r="B76">
        <v>14.406578830489654</v>
      </c>
      <c r="C76">
        <v>46.793421169510353</v>
      </c>
    </row>
    <row r="77" spans="1:3" x14ac:dyDescent="0.45">
      <c r="A77">
        <v>49</v>
      </c>
      <c r="B77">
        <v>37.476351499354791</v>
      </c>
      <c r="C77">
        <v>-2.3763514993547901</v>
      </c>
    </row>
    <row r="78" spans="1:3" x14ac:dyDescent="0.45">
      <c r="A78">
        <v>50</v>
      </c>
      <c r="B78">
        <v>14.059659508809137</v>
      </c>
      <c r="C78">
        <v>1.0403404911908627</v>
      </c>
    </row>
    <row r="79" spans="1:3" x14ac:dyDescent="0.45">
      <c r="A79">
        <v>51</v>
      </c>
      <c r="B79">
        <v>14.049411883204183</v>
      </c>
      <c r="C79">
        <v>-7.8494118832041826</v>
      </c>
    </row>
    <row r="80" spans="1:3" x14ac:dyDescent="0.45">
      <c r="A80">
        <v>52</v>
      </c>
      <c r="B80">
        <v>782.23230111098496</v>
      </c>
      <c r="C80">
        <v>27.267698889015037</v>
      </c>
    </row>
    <row r="81" spans="1:3" x14ac:dyDescent="0.45">
      <c r="A81">
        <v>53</v>
      </c>
      <c r="B81">
        <v>43.999445533582936</v>
      </c>
      <c r="C81">
        <v>7.3005544664170614</v>
      </c>
    </row>
    <row r="82" spans="1:3" x14ac:dyDescent="0.45">
      <c r="A82">
        <v>54</v>
      </c>
      <c r="B82">
        <v>34.559297573972877</v>
      </c>
      <c r="C82">
        <v>-9.6592975739728786</v>
      </c>
    </row>
    <row r="83" spans="1:3" x14ac:dyDescent="0.45">
      <c r="A83">
        <v>55</v>
      </c>
      <c r="B83">
        <v>27.496769060184278</v>
      </c>
      <c r="C83">
        <v>-3.8967690601842762</v>
      </c>
    </row>
    <row r="84" spans="1:3" x14ac:dyDescent="0.45">
      <c r="A84">
        <v>56</v>
      </c>
      <c r="B84">
        <v>14.580801673882471</v>
      </c>
      <c r="C84">
        <v>-2.5808016738824708</v>
      </c>
    </row>
    <row r="85" spans="1:3" x14ac:dyDescent="0.45">
      <c r="A85">
        <v>57</v>
      </c>
      <c r="B85">
        <v>-4.4280400954384769</v>
      </c>
      <c r="C85">
        <v>9.1280400954384771</v>
      </c>
    </row>
    <row r="86" spans="1:3" x14ac:dyDescent="0.45">
      <c r="A86">
        <v>58</v>
      </c>
      <c r="B86">
        <v>474.25697680124824</v>
      </c>
      <c r="C86">
        <v>-247.55697680124825</v>
      </c>
    </row>
    <row r="87" spans="1:3" x14ac:dyDescent="0.45">
      <c r="A87">
        <v>59</v>
      </c>
      <c r="B87">
        <v>27.533249531509838</v>
      </c>
      <c r="C87">
        <v>-3.2332495315098377</v>
      </c>
    </row>
    <row r="88" spans="1:3" x14ac:dyDescent="0.45">
      <c r="A88">
        <v>60</v>
      </c>
      <c r="B88">
        <v>43.425140174967552</v>
      </c>
      <c r="C88">
        <v>6.8748598250324449</v>
      </c>
    </row>
    <row r="89" spans="1:3" x14ac:dyDescent="0.45">
      <c r="A89">
        <v>61</v>
      </c>
      <c r="B89">
        <v>79.511847019871681</v>
      </c>
      <c r="C89">
        <v>-59.611847019871682</v>
      </c>
    </row>
    <row r="90" spans="1:3" x14ac:dyDescent="0.45">
      <c r="A90">
        <v>62</v>
      </c>
      <c r="B90">
        <v>39.230810558235866</v>
      </c>
      <c r="C90">
        <v>-17.330810558235868</v>
      </c>
    </row>
    <row r="91" spans="1:3" x14ac:dyDescent="0.45">
      <c r="A91">
        <v>63</v>
      </c>
      <c r="B91">
        <v>22.60039097827854</v>
      </c>
      <c r="C91">
        <v>-12.50039097827854</v>
      </c>
    </row>
    <row r="92" spans="1:3" x14ac:dyDescent="0.45">
      <c r="A92">
        <v>64</v>
      </c>
      <c r="B92">
        <v>42.979997428247685</v>
      </c>
      <c r="C92">
        <v>-9.9799974282476853</v>
      </c>
    </row>
    <row r="93" spans="1:3" x14ac:dyDescent="0.45">
      <c r="A93">
        <v>65</v>
      </c>
      <c r="B93">
        <v>16.01288605720325</v>
      </c>
      <c r="C93">
        <v>-2.2128860572032494</v>
      </c>
    </row>
    <row r="94" spans="1:3" x14ac:dyDescent="0.45">
      <c r="A94">
        <v>66</v>
      </c>
      <c r="B94">
        <v>1.0447038552872079</v>
      </c>
      <c r="C94">
        <v>320.4552961447128</v>
      </c>
    </row>
    <row r="95" spans="1:3" x14ac:dyDescent="0.45">
      <c r="A95">
        <v>67</v>
      </c>
      <c r="B95">
        <v>28.058721328632245</v>
      </c>
      <c r="C95">
        <v>7.6412786713677576</v>
      </c>
    </row>
    <row r="96" spans="1:3" x14ac:dyDescent="0.45">
      <c r="A96">
        <v>68</v>
      </c>
      <c r="B96">
        <v>3.4094553153236786</v>
      </c>
      <c r="C96">
        <v>38.690544684676325</v>
      </c>
    </row>
    <row r="97" spans="1:3" x14ac:dyDescent="0.45">
      <c r="A97">
        <v>69</v>
      </c>
      <c r="B97">
        <v>53.648108295184315</v>
      </c>
      <c r="C97">
        <v>-2.7481082951843163</v>
      </c>
    </row>
    <row r="98" spans="1:3" x14ac:dyDescent="0.45">
      <c r="A98">
        <v>70</v>
      </c>
      <c r="B98">
        <v>18.584546713946963</v>
      </c>
      <c r="C98">
        <v>242.81545328605301</v>
      </c>
    </row>
    <row r="99" spans="1:3" x14ac:dyDescent="0.45">
      <c r="A99">
        <v>71</v>
      </c>
      <c r="B99">
        <v>27.511619276974852</v>
      </c>
      <c r="C99">
        <v>-6.7116192769748508</v>
      </c>
    </row>
    <row r="100" spans="1:3" x14ac:dyDescent="0.45">
      <c r="A100">
        <v>72</v>
      </c>
      <c r="B100">
        <v>106.99656356987101</v>
      </c>
      <c r="C100">
        <v>-37.796563569871012</v>
      </c>
    </row>
    <row r="101" spans="1:3" x14ac:dyDescent="0.45">
      <c r="A101">
        <v>73</v>
      </c>
      <c r="B101">
        <v>103.53020583764122</v>
      </c>
      <c r="C101">
        <v>-17.630205837641213</v>
      </c>
    </row>
    <row r="102" spans="1:3" x14ac:dyDescent="0.45">
      <c r="A102">
        <v>74</v>
      </c>
      <c r="B102">
        <v>6.0022903101819871</v>
      </c>
      <c r="C102">
        <v>-0.60229031018198675</v>
      </c>
    </row>
    <row r="103" spans="1:3" x14ac:dyDescent="0.45">
      <c r="A103">
        <v>75</v>
      </c>
      <c r="B103">
        <v>163.27814557958163</v>
      </c>
      <c r="C103">
        <v>42.321854420418362</v>
      </c>
    </row>
    <row r="104" spans="1:3" x14ac:dyDescent="0.45">
      <c r="A104">
        <v>76</v>
      </c>
      <c r="B104">
        <v>15.160464968042243</v>
      </c>
      <c r="C104">
        <v>-3.5604649680422433</v>
      </c>
    </row>
    <row r="105" spans="1:3" x14ac:dyDescent="0.45">
      <c r="A105">
        <v>77</v>
      </c>
      <c r="B105">
        <v>35.605663882505695</v>
      </c>
      <c r="C105">
        <v>-17.805663882505694</v>
      </c>
    </row>
    <row r="106" spans="1:3" x14ac:dyDescent="0.45">
      <c r="A106">
        <v>78</v>
      </c>
      <c r="B106">
        <v>21.42687621504108</v>
      </c>
      <c r="C106">
        <v>14.673123784958921</v>
      </c>
    </row>
    <row r="107" spans="1:3" x14ac:dyDescent="0.45">
      <c r="A107">
        <v>79</v>
      </c>
      <c r="B107">
        <v>67.877995016280778</v>
      </c>
      <c r="C107">
        <v>-60.777995016280776</v>
      </c>
    </row>
    <row r="108" spans="1:3" x14ac:dyDescent="0.45">
      <c r="A108">
        <v>80</v>
      </c>
      <c r="B108">
        <v>60.749411448081219</v>
      </c>
      <c r="C108">
        <v>41.750588551918781</v>
      </c>
    </row>
    <row r="109" spans="1:3" x14ac:dyDescent="0.45">
      <c r="A109">
        <v>81</v>
      </c>
      <c r="B109">
        <v>113.32012944332848</v>
      </c>
      <c r="C109">
        <v>-20.520129443328486</v>
      </c>
    </row>
    <row r="110" spans="1:3" x14ac:dyDescent="0.45">
      <c r="A110">
        <v>82</v>
      </c>
      <c r="B110">
        <v>20.177483873766906</v>
      </c>
      <c r="C110">
        <v>-14.677483873766906</v>
      </c>
    </row>
    <row r="111" spans="1:3" x14ac:dyDescent="0.45">
      <c r="A111">
        <v>83</v>
      </c>
      <c r="B111">
        <v>17.540544623157295</v>
      </c>
      <c r="C111">
        <v>-4.6405446231572949</v>
      </c>
    </row>
    <row r="112" spans="1:3" x14ac:dyDescent="0.45">
      <c r="A112">
        <v>84</v>
      </c>
      <c r="B112">
        <v>16.463475136123012</v>
      </c>
      <c r="C112">
        <v>-2.263475136123013</v>
      </c>
    </row>
    <row r="113" spans="1:3" x14ac:dyDescent="0.45">
      <c r="A113">
        <v>85</v>
      </c>
      <c r="B113">
        <v>20.953983327868507</v>
      </c>
      <c r="C113">
        <v>-10.153983327868506</v>
      </c>
    </row>
    <row r="114" spans="1:3" x14ac:dyDescent="0.45">
      <c r="A114">
        <v>86</v>
      </c>
      <c r="B114">
        <v>14.567259245608589</v>
      </c>
      <c r="C114">
        <v>-3.6672592456085891</v>
      </c>
    </row>
    <row r="115" spans="1:3" x14ac:dyDescent="0.45">
      <c r="A115">
        <v>87</v>
      </c>
      <c r="B115">
        <v>16.723490975649344</v>
      </c>
      <c r="C115">
        <v>-3.2234909756493444</v>
      </c>
    </row>
    <row r="116" spans="1:3" x14ac:dyDescent="0.45">
      <c r="A116">
        <v>88</v>
      </c>
      <c r="B116">
        <v>8.4493019108442411</v>
      </c>
      <c r="C116">
        <v>39.15069808915576</v>
      </c>
    </row>
    <row r="117" spans="1:3" x14ac:dyDescent="0.45">
      <c r="A117">
        <v>89</v>
      </c>
      <c r="B117">
        <v>18.176158864972436</v>
      </c>
      <c r="C117">
        <v>2.3238411350275641</v>
      </c>
    </row>
    <row r="118" spans="1:3" x14ac:dyDescent="0.45">
      <c r="A118">
        <v>90</v>
      </c>
      <c r="B118">
        <v>13.440299398160363</v>
      </c>
      <c r="C118">
        <v>-1.6402993981603622</v>
      </c>
    </row>
    <row r="119" spans="1:3" x14ac:dyDescent="0.45">
      <c r="A119">
        <v>91</v>
      </c>
      <c r="B119">
        <v>50.047069802636983</v>
      </c>
      <c r="C119">
        <v>-0.84706980263698028</v>
      </c>
    </row>
    <row r="120" spans="1:3" x14ac:dyDescent="0.45">
      <c r="A120">
        <v>92</v>
      </c>
      <c r="B120">
        <v>106.38935443029702</v>
      </c>
      <c r="C120">
        <v>-14.589354430297021</v>
      </c>
    </row>
    <row r="121" spans="1:3" x14ac:dyDescent="0.45">
      <c r="A121">
        <v>93</v>
      </c>
      <c r="B121">
        <v>30.996000130645729</v>
      </c>
      <c r="C121">
        <v>-17.996000130645729</v>
      </c>
    </row>
    <row r="122" spans="1:3" x14ac:dyDescent="0.45">
      <c r="A122">
        <v>94</v>
      </c>
      <c r="B122">
        <v>17.979849917859131</v>
      </c>
      <c r="C122">
        <v>-3.5798499178591303</v>
      </c>
    </row>
    <row r="123" spans="1:3" x14ac:dyDescent="0.45">
      <c r="A123">
        <v>95</v>
      </c>
      <c r="B123">
        <v>28.514760378826097</v>
      </c>
      <c r="C123">
        <v>-8.114760378826098</v>
      </c>
    </row>
    <row r="124" spans="1:3" x14ac:dyDescent="0.45">
      <c r="A124">
        <v>96</v>
      </c>
      <c r="B124">
        <v>63.353128866890557</v>
      </c>
      <c r="C124">
        <v>11.546871133109448</v>
      </c>
    </row>
    <row r="125" spans="1:3" x14ac:dyDescent="0.45">
      <c r="A125">
        <v>97</v>
      </c>
      <c r="B125">
        <v>31.000724066319414</v>
      </c>
      <c r="C125">
        <v>-13.000724066319414</v>
      </c>
    </row>
    <row r="126" spans="1:3" x14ac:dyDescent="0.45">
      <c r="A126">
        <v>98</v>
      </c>
      <c r="B126">
        <v>22.414597579178228</v>
      </c>
      <c r="C126">
        <v>-11.014597579178227</v>
      </c>
    </row>
    <row r="127" spans="1:3" x14ac:dyDescent="0.45">
      <c r="A127">
        <v>99</v>
      </c>
      <c r="B127">
        <v>50.215162343436084</v>
      </c>
      <c r="C127">
        <v>-32.015162343436089</v>
      </c>
    </row>
    <row r="128" spans="1:3" x14ac:dyDescent="0.45">
      <c r="A128">
        <v>100</v>
      </c>
      <c r="B128">
        <v>26.170302383560063</v>
      </c>
      <c r="C128">
        <v>-5.0703023835600618</v>
      </c>
    </row>
    <row r="129" spans="1:3" x14ac:dyDescent="0.45">
      <c r="A129">
        <v>101</v>
      </c>
      <c r="B129">
        <v>6.3401228568782715</v>
      </c>
      <c r="C129">
        <v>2.8598771431217278</v>
      </c>
    </row>
    <row r="130" spans="1:3" x14ac:dyDescent="0.45">
      <c r="A130">
        <v>102</v>
      </c>
      <c r="B130">
        <v>12.373821204161779</v>
      </c>
      <c r="C130">
        <v>57.426178795838219</v>
      </c>
    </row>
    <row r="131" spans="1:3" x14ac:dyDescent="0.45">
      <c r="A131">
        <v>103</v>
      </c>
      <c r="B131">
        <v>157.16205083563227</v>
      </c>
      <c r="C131">
        <v>-70.462050835632269</v>
      </c>
    </row>
    <row r="132" spans="1:3" x14ac:dyDescent="0.45">
      <c r="A132">
        <v>104</v>
      </c>
      <c r="B132">
        <v>23.73946158935977</v>
      </c>
      <c r="C132">
        <v>-21.139461589359769</v>
      </c>
    </row>
    <row r="133" spans="1:3" x14ac:dyDescent="0.45">
      <c r="A133">
        <v>105</v>
      </c>
      <c r="B133">
        <v>292.19348352636734</v>
      </c>
      <c r="C133">
        <v>-73.193483526367345</v>
      </c>
    </row>
    <row r="134" spans="1:3" x14ac:dyDescent="0.45">
      <c r="A134">
        <v>106</v>
      </c>
      <c r="B134">
        <v>64.130012530765086</v>
      </c>
      <c r="C134">
        <v>-56.430012530765083</v>
      </c>
    </row>
    <row r="135" spans="1:3" x14ac:dyDescent="0.45">
      <c r="A135">
        <v>107</v>
      </c>
      <c r="B135">
        <v>9.6496531538220722</v>
      </c>
      <c r="C135">
        <v>58.750346846177933</v>
      </c>
    </row>
    <row r="136" spans="1:3" x14ac:dyDescent="0.45">
      <c r="A136">
        <v>108</v>
      </c>
      <c r="B136">
        <v>11.56885583957197</v>
      </c>
      <c r="C136">
        <v>0.23114416042803043</v>
      </c>
    </row>
    <row r="137" spans="1:3" x14ac:dyDescent="0.45">
      <c r="A137">
        <v>109</v>
      </c>
      <c r="B137">
        <v>22.74286286216747</v>
      </c>
      <c r="C137">
        <v>24.957137137832532</v>
      </c>
    </row>
    <row r="138" spans="1:3" x14ac:dyDescent="0.45">
      <c r="A138">
        <v>110</v>
      </c>
      <c r="B138">
        <v>48.816034280842615</v>
      </c>
      <c r="C138">
        <v>-38.716034280842614</v>
      </c>
    </row>
    <row r="139" spans="1:3" x14ac:dyDescent="0.45">
      <c r="A139">
        <v>111</v>
      </c>
      <c r="B139">
        <v>6.5556739363075298</v>
      </c>
      <c r="C139">
        <v>5.3443260636924705</v>
      </c>
    </row>
    <row r="140" spans="1:3" x14ac:dyDescent="0.45">
      <c r="A140">
        <v>112</v>
      </c>
      <c r="B140">
        <v>34.119035989115226</v>
      </c>
      <c r="C140">
        <v>-17.419035989115226</v>
      </c>
    </row>
    <row r="141" spans="1:3" x14ac:dyDescent="0.45">
      <c r="A141">
        <v>113</v>
      </c>
      <c r="B141">
        <v>154.4033828912662</v>
      </c>
      <c r="C141">
        <v>44.996617108733801</v>
      </c>
    </row>
    <row r="142" spans="1:3" x14ac:dyDescent="0.45">
      <c r="A142">
        <v>114</v>
      </c>
      <c r="B142">
        <v>20.282360889608661</v>
      </c>
      <c r="C142">
        <v>172.41763911039132</v>
      </c>
    </row>
    <row r="143" spans="1:3" x14ac:dyDescent="0.45">
      <c r="A143">
        <v>115</v>
      </c>
      <c r="B143">
        <v>6.2818591592912476E-3</v>
      </c>
      <c r="C143">
        <v>21.993718140840709</v>
      </c>
    </row>
    <row r="144" spans="1:3" x14ac:dyDescent="0.45">
      <c r="A144">
        <v>116</v>
      </c>
      <c r="B144">
        <v>27.934777018204713</v>
      </c>
      <c r="C144">
        <v>-14.734777018204714</v>
      </c>
    </row>
    <row r="145" spans="1:3" x14ac:dyDescent="0.45">
      <c r="A145">
        <v>117</v>
      </c>
      <c r="B145">
        <v>48.078087140278363</v>
      </c>
      <c r="C145">
        <v>6.3219128597216354</v>
      </c>
    </row>
    <row r="146" spans="1:3" x14ac:dyDescent="0.45">
      <c r="A146">
        <v>118</v>
      </c>
      <c r="B146">
        <v>22.958087968767511</v>
      </c>
      <c r="C146">
        <v>-11.058087968767511</v>
      </c>
    </row>
    <row r="147" spans="1:3" x14ac:dyDescent="0.45">
      <c r="A147">
        <v>119</v>
      </c>
      <c r="B147">
        <v>92.575891601285306</v>
      </c>
      <c r="C147">
        <v>97.324108398714699</v>
      </c>
    </row>
    <row r="148" spans="1:3" x14ac:dyDescent="0.45">
      <c r="A148">
        <v>120</v>
      </c>
      <c r="B148">
        <v>38.919791876719813</v>
      </c>
      <c r="C148">
        <v>6.1802081232801882</v>
      </c>
    </row>
    <row r="149" spans="1:3" x14ac:dyDescent="0.45">
      <c r="A149">
        <v>121</v>
      </c>
      <c r="B149">
        <v>49.982136023199807</v>
      </c>
      <c r="C149">
        <v>11.617863976800194</v>
      </c>
    </row>
    <row r="150" spans="1:3" x14ac:dyDescent="0.45">
      <c r="A150">
        <v>122</v>
      </c>
      <c r="B150">
        <v>272.90682181530576</v>
      </c>
      <c r="C150">
        <v>-86.406821815305761</v>
      </c>
    </row>
    <row r="151" spans="1:3" x14ac:dyDescent="0.45">
      <c r="A151">
        <v>123</v>
      </c>
      <c r="B151">
        <v>10.85615650523599</v>
      </c>
      <c r="C151">
        <v>5.4438434947640104</v>
      </c>
    </row>
    <row r="152" spans="1:3" x14ac:dyDescent="0.45">
      <c r="A152">
        <v>124</v>
      </c>
      <c r="B152">
        <v>13.879970287029561</v>
      </c>
      <c r="C152">
        <v>0.52002971297043921</v>
      </c>
    </row>
    <row r="153" spans="1:3" x14ac:dyDescent="0.45">
      <c r="A153">
        <v>125</v>
      </c>
      <c r="B153">
        <v>96.519314172122492</v>
      </c>
      <c r="C153">
        <v>-74.519314172122492</v>
      </c>
    </row>
    <row r="154" spans="1:3" x14ac:dyDescent="0.45">
      <c r="A154">
        <v>126</v>
      </c>
      <c r="B154">
        <v>68.968884853420349</v>
      </c>
      <c r="C154">
        <v>-3.4688848534203487</v>
      </c>
    </row>
    <row r="155" spans="1:3" x14ac:dyDescent="0.45">
      <c r="A155">
        <v>127</v>
      </c>
      <c r="B155">
        <v>47.079525210207336</v>
      </c>
      <c r="C155">
        <v>-23.779525210207336</v>
      </c>
    </row>
    <row r="156" spans="1:3" x14ac:dyDescent="0.45">
      <c r="A156">
        <v>128</v>
      </c>
      <c r="B156">
        <v>58.410393645272848</v>
      </c>
      <c r="C156">
        <v>-16.710393645272845</v>
      </c>
    </row>
    <row r="157" spans="1:3" x14ac:dyDescent="0.45">
      <c r="A157">
        <v>129</v>
      </c>
      <c r="B157">
        <v>34.649741324776272</v>
      </c>
      <c r="C157">
        <v>-8.8497413247762715</v>
      </c>
    </row>
    <row r="158" spans="1:3" x14ac:dyDescent="0.45">
      <c r="A158">
        <v>130</v>
      </c>
      <c r="B158">
        <v>78.738186340137787</v>
      </c>
      <c r="C158">
        <v>1.6618136598622186</v>
      </c>
    </row>
    <row r="159" spans="1:3" x14ac:dyDescent="0.45">
      <c r="A159">
        <v>131</v>
      </c>
      <c r="B159">
        <v>5.6083522637296817</v>
      </c>
      <c r="C159">
        <v>7.491647736270318</v>
      </c>
    </row>
    <row r="160" spans="1:3" x14ac:dyDescent="0.45">
      <c r="A160">
        <v>132</v>
      </c>
      <c r="B160">
        <v>50.126769972141702</v>
      </c>
      <c r="C160">
        <v>-5.9267699721416989</v>
      </c>
    </row>
    <row r="161" spans="1:3" x14ac:dyDescent="0.45">
      <c r="A161">
        <v>133</v>
      </c>
      <c r="B161">
        <v>3.2238257825089063</v>
      </c>
      <c r="C161">
        <v>1.8761742174910934</v>
      </c>
    </row>
    <row r="162" spans="1:3" x14ac:dyDescent="0.45">
      <c r="A162">
        <v>134</v>
      </c>
      <c r="B162">
        <v>45.437038679388856</v>
      </c>
      <c r="C162">
        <v>1.8629613206111415</v>
      </c>
    </row>
    <row r="163" spans="1:3" x14ac:dyDescent="0.45">
      <c r="A163">
        <v>135</v>
      </c>
      <c r="B163">
        <v>43.280108112777164</v>
      </c>
      <c r="C163">
        <v>-14.580108112777165</v>
      </c>
    </row>
    <row r="164" spans="1:3" x14ac:dyDescent="0.45">
      <c r="A164">
        <v>136</v>
      </c>
      <c r="B164">
        <v>112.4549545523713</v>
      </c>
      <c r="C164">
        <v>-37.154954552371308</v>
      </c>
    </row>
    <row r="165" spans="1:3" x14ac:dyDescent="0.45">
      <c r="A165">
        <v>137</v>
      </c>
      <c r="B165">
        <v>15.876415625245787</v>
      </c>
      <c r="C165">
        <v>1.5235843747542113</v>
      </c>
    </row>
    <row r="166" spans="1:3" x14ac:dyDescent="0.45">
      <c r="A166">
        <v>138</v>
      </c>
      <c r="B166">
        <v>53.803327735905029</v>
      </c>
      <c r="C166">
        <v>12.596672264094977</v>
      </c>
    </row>
    <row r="167" spans="1:3" x14ac:dyDescent="0.45">
      <c r="A167">
        <v>139</v>
      </c>
      <c r="B167">
        <v>18.485500968050864</v>
      </c>
      <c r="C167">
        <v>-6.7855009680508651</v>
      </c>
    </row>
    <row r="168" spans="1:3" x14ac:dyDescent="0.45">
      <c r="A168">
        <v>140</v>
      </c>
      <c r="B168">
        <v>24.751648042364398</v>
      </c>
      <c r="C168">
        <v>-11.051648042364398</v>
      </c>
    </row>
    <row r="169" spans="1:3" x14ac:dyDescent="0.45">
      <c r="A169">
        <v>141</v>
      </c>
      <c r="B169">
        <v>57.200071449152347</v>
      </c>
      <c r="C169">
        <v>-5.0000714491523439</v>
      </c>
    </row>
    <row r="170" spans="1:3" x14ac:dyDescent="0.45">
      <c r="A170">
        <v>142</v>
      </c>
      <c r="B170">
        <v>75.120077449011646</v>
      </c>
      <c r="C170">
        <v>-36.720077449011647</v>
      </c>
    </row>
    <row r="171" spans="1:3" x14ac:dyDescent="0.45">
      <c r="A171">
        <v>143</v>
      </c>
      <c r="B171">
        <v>4.7698329023452422</v>
      </c>
      <c r="C171">
        <v>8.6301670976547591</v>
      </c>
    </row>
    <row r="172" spans="1:3" x14ac:dyDescent="0.45">
      <c r="A172">
        <v>144</v>
      </c>
      <c r="B172">
        <v>57.844870882154417</v>
      </c>
      <c r="C172">
        <v>-38.544870882154413</v>
      </c>
    </row>
    <row r="173" spans="1:3" x14ac:dyDescent="0.45">
      <c r="A173">
        <v>145</v>
      </c>
      <c r="B173">
        <v>38.518117913414741</v>
      </c>
      <c r="C173">
        <v>-17.118117913414743</v>
      </c>
    </row>
    <row r="174" spans="1:3" x14ac:dyDescent="0.45">
      <c r="A174">
        <v>146</v>
      </c>
      <c r="B174">
        <v>0.22858902892701805</v>
      </c>
      <c r="C174">
        <v>27.17141097107298</v>
      </c>
    </row>
    <row r="175" spans="1:3" x14ac:dyDescent="0.45">
      <c r="A175">
        <v>147</v>
      </c>
      <c r="B175">
        <v>16.60656697837619</v>
      </c>
      <c r="C175">
        <v>-7.8065669783761891</v>
      </c>
    </row>
    <row r="176" spans="1:3" x14ac:dyDescent="0.45">
      <c r="A176">
        <v>148</v>
      </c>
      <c r="B176">
        <v>16.129100652380831</v>
      </c>
      <c r="C176">
        <v>-7.8291006523808306</v>
      </c>
    </row>
    <row r="177" spans="1:3" x14ac:dyDescent="0.45">
      <c r="A177">
        <v>149</v>
      </c>
      <c r="B177">
        <v>26.296388181146437</v>
      </c>
      <c r="C177">
        <v>-5.2963881811464368</v>
      </c>
    </row>
    <row r="178" spans="1:3" x14ac:dyDescent="0.45">
      <c r="A178">
        <v>150</v>
      </c>
      <c r="B178">
        <v>32.236572473224733</v>
      </c>
      <c r="C178">
        <v>-5.6365724732247315</v>
      </c>
    </row>
    <row r="179" spans="1:3" x14ac:dyDescent="0.45">
      <c r="A179">
        <v>151</v>
      </c>
      <c r="B179">
        <v>35.11050120142059</v>
      </c>
      <c r="C179">
        <v>-9.9105012014205904</v>
      </c>
    </row>
    <row r="180" spans="1:3" x14ac:dyDescent="0.45">
      <c r="A180">
        <v>152</v>
      </c>
      <c r="B180">
        <v>66.364157773384548</v>
      </c>
      <c r="C180">
        <v>-18.864157773384548</v>
      </c>
    </row>
    <row r="181" spans="1:3" x14ac:dyDescent="0.45">
      <c r="A181">
        <v>153</v>
      </c>
      <c r="B181">
        <v>21.937781239052388</v>
      </c>
      <c r="C181">
        <v>-6.3377812390523882</v>
      </c>
    </row>
    <row r="182" spans="1:3" x14ac:dyDescent="0.45">
      <c r="A182">
        <v>154</v>
      </c>
      <c r="B182">
        <v>63.854297479440604</v>
      </c>
      <c r="C182">
        <v>101.34570252055939</v>
      </c>
    </row>
    <row r="183" spans="1:3" x14ac:dyDescent="0.45">
      <c r="A183">
        <v>155</v>
      </c>
      <c r="B183">
        <v>31.015607632102181</v>
      </c>
      <c r="C183">
        <v>-9.8156076321021821</v>
      </c>
    </row>
    <row r="184" spans="1:3" x14ac:dyDescent="0.45">
      <c r="A184">
        <v>156</v>
      </c>
      <c r="B184">
        <v>35.170403482867194</v>
      </c>
      <c r="C184">
        <v>-17.370403482867193</v>
      </c>
    </row>
    <row r="185" spans="1:3" x14ac:dyDescent="0.45">
      <c r="A185">
        <v>157</v>
      </c>
      <c r="B185">
        <v>103.35249264164095</v>
      </c>
      <c r="C185">
        <v>-51.252492641640949</v>
      </c>
    </row>
    <row r="186" spans="1:3" x14ac:dyDescent="0.45">
      <c r="A186">
        <v>158</v>
      </c>
      <c r="B186">
        <v>21.235181059586708</v>
      </c>
      <c r="C186">
        <v>-12.235181059586708</v>
      </c>
    </row>
    <row r="187" spans="1:3" x14ac:dyDescent="0.45">
      <c r="A187">
        <v>159</v>
      </c>
      <c r="B187">
        <v>43.31548696291253</v>
      </c>
      <c r="C187">
        <v>-15.915486962912532</v>
      </c>
    </row>
    <row r="188" spans="1:3" x14ac:dyDescent="0.45">
      <c r="A188">
        <v>160</v>
      </c>
      <c r="B188">
        <v>7.4755967537474124</v>
      </c>
      <c r="C188">
        <v>6.3244032462525883</v>
      </c>
    </row>
    <row r="189" spans="1:3" x14ac:dyDescent="0.45">
      <c r="A189">
        <v>161</v>
      </c>
      <c r="B189">
        <v>14.298791491658548</v>
      </c>
      <c r="C189">
        <v>-9.8791491658548836E-2</v>
      </c>
    </row>
    <row r="190" spans="1:3" x14ac:dyDescent="0.45">
      <c r="A190">
        <v>162</v>
      </c>
      <c r="B190">
        <v>40.545402514909178</v>
      </c>
      <c r="C190">
        <v>-4.5454025149091777</v>
      </c>
    </row>
    <row r="191" spans="1:3" x14ac:dyDescent="0.45">
      <c r="A191">
        <v>163</v>
      </c>
      <c r="B191">
        <v>40.725503075004831</v>
      </c>
      <c r="C191">
        <v>3.4744969249951723</v>
      </c>
    </row>
    <row r="192" spans="1:3" x14ac:dyDescent="0.45">
      <c r="A192">
        <v>164</v>
      </c>
      <c r="B192">
        <v>46.719586205546065</v>
      </c>
      <c r="C192">
        <v>-8.2195862055460651</v>
      </c>
    </row>
    <row r="193" spans="1:3" x14ac:dyDescent="0.45">
      <c r="A193">
        <v>165</v>
      </c>
      <c r="B193">
        <v>41.98934121201021</v>
      </c>
      <c r="C193">
        <v>-22.589341212010211</v>
      </c>
    </row>
    <row r="194" spans="1:3" x14ac:dyDescent="0.45">
      <c r="A194">
        <v>166</v>
      </c>
      <c r="B194">
        <v>38.457505232678379</v>
      </c>
      <c r="C194">
        <v>-11.05750523267838</v>
      </c>
    </row>
    <row r="195" spans="1:3" x14ac:dyDescent="0.45">
      <c r="A195">
        <v>167</v>
      </c>
      <c r="B195">
        <v>40.023543458570423</v>
      </c>
      <c r="C195">
        <v>-2.123543458570424</v>
      </c>
    </row>
    <row r="196" spans="1:3" x14ac:dyDescent="0.45">
      <c r="A196">
        <v>168</v>
      </c>
      <c r="B196">
        <v>33.555366263074404</v>
      </c>
      <c r="C196">
        <v>10.444633736925596</v>
      </c>
    </row>
    <row r="197" spans="1:3" x14ac:dyDescent="0.45">
      <c r="A197">
        <v>169</v>
      </c>
      <c r="B197">
        <v>28.356227853542041</v>
      </c>
      <c r="C197">
        <v>-15.256227853542041</v>
      </c>
    </row>
    <row r="198" spans="1:3" x14ac:dyDescent="0.45">
      <c r="A198">
        <v>170</v>
      </c>
      <c r="B198">
        <v>12.000963499417255</v>
      </c>
      <c r="C198">
        <v>-7.8009634994172545</v>
      </c>
    </row>
    <row r="199" spans="1:3" x14ac:dyDescent="0.45">
      <c r="A199">
        <v>171</v>
      </c>
      <c r="B199">
        <v>96.251154851659578</v>
      </c>
      <c r="C199">
        <v>-35.051154851659575</v>
      </c>
    </row>
    <row r="200" spans="1:3" x14ac:dyDescent="0.45">
      <c r="A200">
        <v>172</v>
      </c>
      <c r="B200">
        <v>37.833679437058265</v>
      </c>
      <c r="C200">
        <v>-25.233679437058264</v>
      </c>
    </row>
    <row r="201" spans="1:3" x14ac:dyDescent="0.45">
      <c r="A201">
        <v>173</v>
      </c>
      <c r="B201">
        <v>28.295187082169505</v>
      </c>
      <c r="C201">
        <v>-14.195187082169506</v>
      </c>
    </row>
    <row r="202" spans="1:3" x14ac:dyDescent="0.45">
      <c r="A202">
        <v>174</v>
      </c>
      <c r="B202">
        <v>113.83791797470219</v>
      </c>
      <c r="C202">
        <v>-80.537917974702196</v>
      </c>
    </row>
    <row r="203" spans="1:3" x14ac:dyDescent="0.45">
      <c r="A203">
        <v>175</v>
      </c>
      <c r="B203">
        <v>29.461711696965068</v>
      </c>
      <c r="C203">
        <v>-8.5617116969650695</v>
      </c>
    </row>
    <row r="204" spans="1:3" x14ac:dyDescent="0.45">
      <c r="A204">
        <v>176</v>
      </c>
      <c r="B204">
        <v>57.586206621309074</v>
      </c>
      <c r="C204">
        <v>-43.186206621309076</v>
      </c>
    </row>
    <row r="205" spans="1:3" x14ac:dyDescent="0.45">
      <c r="A205">
        <v>177</v>
      </c>
      <c r="B205">
        <v>48.00725188583008</v>
      </c>
      <c r="C205">
        <v>1.4927481141699204</v>
      </c>
    </row>
    <row r="206" spans="1:3" x14ac:dyDescent="0.45">
      <c r="A206">
        <v>178</v>
      </c>
      <c r="B206">
        <v>-2.7498337458725497</v>
      </c>
      <c r="C206">
        <v>12.84983374587255</v>
      </c>
    </row>
    <row r="207" spans="1:3" x14ac:dyDescent="0.45">
      <c r="A207">
        <v>179</v>
      </c>
      <c r="B207">
        <v>30.097854028574773</v>
      </c>
      <c r="C207">
        <v>-12.097854028574773</v>
      </c>
    </row>
    <row r="208" spans="1:3" x14ac:dyDescent="0.45">
      <c r="A208">
        <v>180</v>
      </c>
      <c r="B208">
        <v>83.413883534336037</v>
      </c>
      <c r="C208">
        <v>-48.713883534336034</v>
      </c>
    </row>
    <row r="209" spans="1:3" x14ac:dyDescent="0.45">
      <c r="A209">
        <v>181</v>
      </c>
      <c r="B209">
        <v>37.535077169649647</v>
      </c>
      <c r="C209">
        <v>-17.835077169649647</v>
      </c>
    </row>
    <row r="210" spans="1:3" x14ac:dyDescent="0.45">
      <c r="A210">
        <v>182</v>
      </c>
      <c r="B210">
        <v>12.951942890175145</v>
      </c>
      <c r="C210">
        <v>-1.951942890175145</v>
      </c>
    </row>
    <row r="211" spans="1:3" x14ac:dyDescent="0.45">
      <c r="A211">
        <v>183</v>
      </c>
      <c r="B211">
        <v>69.106747482672048</v>
      </c>
      <c r="C211">
        <v>-26.70674748267205</v>
      </c>
    </row>
    <row r="212" spans="1:3" x14ac:dyDescent="0.45">
      <c r="A212">
        <v>184</v>
      </c>
      <c r="B212">
        <v>25.974921803542603</v>
      </c>
      <c r="C212">
        <v>-15.874921803542604</v>
      </c>
    </row>
    <row r="213" spans="1:3" x14ac:dyDescent="0.45">
      <c r="A213">
        <v>185</v>
      </c>
      <c r="B213">
        <v>389.18822118624871</v>
      </c>
      <c r="C213">
        <v>-63.088221186248688</v>
      </c>
    </row>
    <row r="214" spans="1:3" x14ac:dyDescent="0.45">
      <c r="A214">
        <v>186</v>
      </c>
      <c r="B214">
        <v>21.506516660671057</v>
      </c>
      <c r="C214">
        <v>-12.806516660671058</v>
      </c>
    </row>
    <row r="215" spans="1:3" x14ac:dyDescent="0.45">
      <c r="A215">
        <v>187</v>
      </c>
      <c r="B215">
        <v>266.28266853379733</v>
      </c>
      <c r="C215">
        <v>257.11733146620264</v>
      </c>
    </row>
    <row r="216" spans="1:3" x14ac:dyDescent="0.45">
      <c r="A216">
        <v>188</v>
      </c>
      <c r="B216">
        <v>16.470106523862505</v>
      </c>
      <c r="C216">
        <v>-1.1701065238625041</v>
      </c>
    </row>
    <row r="217" spans="1:3" x14ac:dyDescent="0.45">
      <c r="A217">
        <v>189</v>
      </c>
      <c r="B217">
        <v>30.506961172367905</v>
      </c>
      <c r="C217">
        <v>-22.406961172367907</v>
      </c>
    </row>
    <row r="218" spans="1:3" x14ac:dyDescent="0.45">
      <c r="A218">
        <v>190</v>
      </c>
      <c r="B218">
        <v>103.26850666472399</v>
      </c>
      <c r="C218">
        <v>-35.968506664723989</v>
      </c>
    </row>
    <row r="219" spans="1:3" x14ac:dyDescent="0.45">
      <c r="A219">
        <v>191</v>
      </c>
      <c r="B219">
        <v>44.730688127150017</v>
      </c>
      <c r="C219">
        <v>-12.43068812715002</v>
      </c>
    </row>
    <row r="220" spans="1:3" x14ac:dyDescent="0.45">
      <c r="A220">
        <v>192</v>
      </c>
      <c r="B220">
        <v>-2.0193258304153092</v>
      </c>
      <c r="C220">
        <v>24.419325830415307</v>
      </c>
    </row>
    <row r="221" spans="1:3" x14ac:dyDescent="0.45">
      <c r="A221">
        <v>193</v>
      </c>
      <c r="B221">
        <v>-12.930343840409655</v>
      </c>
      <c r="C221">
        <v>26.630343840409655</v>
      </c>
    </row>
    <row r="222" spans="1:3" x14ac:dyDescent="0.45">
      <c r="A222">
        <v>194</v>
      </c>
      <c r="B222">
        <v>42.250769443394141</v>
      </c>
      <c r="C222">
        <v>-15.350769443394142</v>
      </c>
    </row>
    <row r="223" spans="1:3" x14ac:dyDescent="0.45">
      <c r="A223">
        <v>195</v>
      </c>
      <c r="B223">
        <v>12.928352403446578</v>
      </c>
      <c r="C223">
        <v>-6.2283524034465776</v>
      </c>
    </row>
    <row r="224" spans="1:3" x14ac:dyDescent="0.45">
      <c r="A224">
        <v>196</v>
      </c>
      <c r="B224">
        <v>9.4456973265290305</v>
      </c>
      <c r="C224">
        <v>-4.0456973265290301</v>
      </c>
    </row>
    <row r="225" spans="1:3" x14ac:dyDescent="0.45">
      <c r="A225">
        <v>197</v>
      </c>
      <c r="B225">
        <v>10.141864864793792</v>
      </c>
      <c r="C225">
        <v>-2.1418648647937921</v>
      </c>
    </row>
    <row r="226" spans="1:3" x14ac:dyDescent="0.45">
      <c r="A226">
        <v>198</v>
      </c>
      <c r="B226">
        <v>23.824194136681211</v>
      </c>
      <c r="C226">
        <v>-12.52419413668121</v>
      </c>
    </row>
    <row r="227" spans="1:3" x14ac:dyDescent="0.45">
      <c r="A227">
        <v>199</v>
      </c>
      <c r="B227">
        <v>81.341447617137916</v>
      </c>
      <c r="C227">
        <v>-38.941447617137918</v>
      </c>
    </row>
    <row r="228" spans="1:3" x14ac:dyDescent="0.45">
      <c r="A228">
        <v>200</v>
      </c>
      <c r="B228">
        <v>25.827771674073123</v>
      </c>
      <c r="C228">
        <v>-0.92777167407312433</v>
      </c>
    </row>
    <row r="229" spans="1:3" x14ac:dyDescent="0.45">
      <c r="A229">
        <v>201</v>
      </c>
      <c r="B229">
        <v>11.764931529345159</v>
      </c>
      <c r="C229">
        <v>-2.164931529345159</v>
      </c>
    </row>
    <row r="230" spans="1:3" x14ac:dyDescent="0.45">
      <c r="A230">
        <v>202</v>
      </c>
      <c r="B230">
        <v>25.451919392898173</v>
      </c>
      <c r="C230">
        <v>-3.6519193928981721</v>
      </c>
    </row>
    <row r="231" spans="1:3" x14ac:dyDescent="0.45">
      <c r="A231">
        <v>203</v>
      </c>
      <c r="B231">
        <v>48.331811484777944</v>
      </c>
      <c r="C231">
        <v>-22.431811484777946</v>
      </c>
    </row>
    <row r="232" spans="1:3" x14ac:dyDescent="0.45">
      <c r="A232">
        <v>204</v>
      </c>
      <c r="B232">
        <v>17.978046661832391</v>
      </c>
      <c r="C232">
        <v>-5.2780466618323914</v>
      </c>
    </row>
    <row r="233" spans="1:3" x14ac:dyDescent="0.45">
      <c r="A233">
        <v>205</v>
      </c>
      <c r="B233">
        <v>15.365584085831676</v>
      </c>
      <c r="C233">
        <v>-3.5655840858316754</v>
      </c>
    </row>
    <row r="234" spans="1:3" x14ac:dyDescent="0.45">
      <c r="A234">
        <v>206</v>
      </c>
      <c r="B234">
        <v>25.152539641215881</v>
      </c>
      <c r="C234">
        <v>-14.352539641215881</v>
      </c>
    </row>
    <row r="235" spans="1:3" x14ac:dyDescent="0.45">
      <c r="A235">
        <v>207</v>
      </c>
      <c r="B235">
        <v>66.53430400593362</v>
      </c>
      <c r="C235">
        <v>-2.3343040059336175</v>
      </c>
    </row>
    <row r="236" spans="1:3" x14ac:dyDescent="0.45">
      <c r="A236">
        <v>208</v>
      </c>
      <c r="B236">
        <v>-1.7362916000920989</v>
      </c>
      <c r="C236">
        <v>133.93629160009209</v>
      </c>
    </row>
    <row r="237" spans="1:3" x14ac:dyDescent="0.45">
      <c r="A237">
        <v>209</v>
      </c>
      <c r="B237">
        <v>31.411859012420706</v>
      </c>
      <c r="C237">
        <v>-10.411859012420706</v>
      </c>
    </row>
    <row r="238" spans="1:3" x14ac:dyDescent="0.45">
      <c r="A238">
        <v>210</v>
      </c>
      <c r="B238">
        <v>32.641348213887127</v>
      </c>
      <c r="C238">
        <v>-1.541348213887126</v>
      </c>
    </row>
    <row r="239" spans="1:3" x14ac:dyDescent="0.45">
      <c r="A239">
        <v>211</v>
      </c>
      <c r="B239">
        <v>216.73610105353393</v>
      </c>
      <c r="C239">
        <v>-155.23610105353393</v>
      </c>
    </row>
    <row r="240" spans="1:3" x14ac:dyDescent="0.45">
      <c r="A240">
        <v>212</v>
      </c>
      <c r="B240">
        <v>19.145201882393184</v>
      </c>
      <c r="C240">
        <v>-4.5452018823931848</v>
      </c>
    </row>
    <row r="241" spans="1:3" x14ac:dyDescent="0.45">
      <c r="A241">
        <v>213</v>
      </c>
      <c r="B241">
        <v>164.20379664435981</v>
      </c>
      <c r="C241">
        <v>-56.103796644359818</v>
      </c>
    </row>
    <row r="242" spans="1:3" x14ac:dyDescent="0.45">
      <c r="A242">
        <v>214</v>
      </c>
      <c r="B242">
        <v>31.352305073850879</v>
      </c>
      <c r="C242">
        <v>-14.45230507385088</v>
      </c>
    </row>
    <row r="243" spans="1:3" x14ac:dyDescent="0.45">
      <c r="A243">
        <v>215</v>
      </c>
      <c r="B243">
        <v>32.683185678099456</v>
      </c>
      <c r="C243">
        <v>64.316814321900551</v>
      </c>
    </row>
    <row r="244" spans="1:3" x14ac:dyDescent="0.45">
      <c r="A244">
        <v>216</v>
      </c>
      <c r="B244">
        <v>9.5013589170214949</v>
      </c>
      <c r="C244">
        <v>-1.3013589170214956</v>
      </c>
    </row>
    <row r="245" spans="1:3" x14ac:dyDescent="0.45">
      <c r="A245">
        <v>217</v>
      </c>
      <c r="B245">
        <v>45.02055524987383</v>
      </c>
      <c r="C245">
        <v>-30.420555249873829</v>
      </c>
    </row>
    <row r="246" spans="1:3" x14ac:dyDescent="0.45">
      <c r="A246">
        <v>218</v>
      </c>
      <c r="B246">
        <v>39.832277034485749</v>
      </c>
      <c r="C246">
        <v>3.5677229655142497</v>
      </c>
    </row>
    <row r="247" spans="1:3" x14ac:dyDescent="0.45">
      <c r="A247">
        <v>219</v>
      </c>
      <c r="B247">
        <v>5.2001139683921052</v>
      </c>
      <c r="C247">
        <v>2.7998860316078948</v>
      </c>
    </row>
    <row r="248" spans="1:3" x14ac:dyDescent="0.45">
      <c r="A248">
        <v>220</v>
      </c>
      <c r="B248">
        <v>10.349842491457277</v>
      </c>
      <c r="C248">
        <v>-2.149842491457278</v>
      </c>
    </row>
    <row r="249" spans="1:3" x14ac:dyDescent="0.45">
      <c r="A249">
        <v>221</v>
      </c>
      <c r="B249">
        <v>36.439385620498477</v>
      </c>
      <c r="C249">
        <v>-18.339385620498476</v>
      </c>
    </row>
    <row r="250" spans="1:3" x14ac:dyDescent="0.45">
      <c r="A250">
        <v>222</v>
      </c>
      <c r="B250">
        <v>2.4811963872319138</v>
      </c>
      <c r="C250">
        <v>17.418803612768084</v>
      </c>
    </row>
    <row r="251" spans="1:3" x14ac:dyDescent="0.45">
      <c r="A251">
        <v>223</v>
      </c>
      <c r="B251">
        <v>20.069790090939886</v>
      </c>
      <c r="C251">
        <v>-7.3697900909398868</v>
      </c>
    </row>
    <row r="252" spans="1:3" x14ac:dyDescent="0.45">
      <c r="A252">
        <v>224</v>
      </c>
      <c r="B252">
        <v>18.388617027167061</v>
      </c>
      <c r="C252">
        <v>-7.3886170271670615</v>
      </c>
    </row>
    <row r="253" spans="1:3" x14ac:dyDescent="0.45">
      <c r="A253">
        <v>225</v>
      </c>
      <c r="B253">
        <v>12.16775704555041</v>
      </c>
      <c r="C253">
        <v>-4.8677570455504098</v>
      </c>
    </row>
    <row r="254" spans="1:3" x14ac:dyDescent="0.45">
      <c r="A254">
        <v>226</v>
      </c>
      <c r="B254">
        <v>14.791072956663674</v>
      </c>
      <c r="C254">
        <v>-3.2910729566636743</v>
      </c>
    </row>
    <row r="255" spans="1:3" x14ac:dyDescent="0.45">
      <c r="A255">
        <v>227</v>
      </c>
      <c r="B255">
        <v>44.766927817341674</v>
      </c>
      <c r="C255">
        <v>-30.766927817341674</v>
      </c>
    </row>
    <row r="256" spans="1:3" x14ac:dyDescent="0.45">
      <c r="A256">
        <v>228</v>
      </c>
      <c r="B256">
        <v>34.161006885310123</v>
      </c>
      <c r="C256">
        <v>-9.3610068853101218</v>
      </c>
    </row>
    <row r="257" spans="1:3" x14ac:dyDescent="0.45">
      <c r="A257">
        <v>229</v>
      </c>
      <c r="B257">
        <v>43.828940644095084</v>
      </c>
      <c r="C257">
        <v>-17.628940644095085</v>
      </c>
    </row>
    <row r="258" spans="1:3" x14ac:dyDescent="0.45">
      <c r="A258">
        <v>230</v>
      </c>
      <c r="B258">
        <v>18.231841258242127</v>
      </c>
      <c r="C258">
        <v>-7.0318412582421281</v>
      </c>
    </row>
    <row r="259" spans="1:3" x14ac:dyDescent="0.45">
      <c r="A259">
        <v>231</v>
      </c>
      <c r="B259">
        <v>185.45931730731482</v>
      </c>
      <c r="C259">
        <v>37.940682692685186</v>
      </c>
    </row>
    <row r="260" spans="1:3" x14ac:dyDescent="0.45">
      <c r="A260">
        <v>232</v>
      </c>
      <c r="B260">
        <v>107.2006244303758</v>
      </c>
      <c r="C260">
        <v>7.199375569624209</v>
      </c>
    </row>
    <row r="261" spans="1:3" x14ac:dyDescent="0.45">
      <c r="A261">
        <v>233</v>
      </c>
      <c r="B261">
        <v>14.885699879381409</v>
      </c>
      <c r="C261">
        <v>2.4143001206185914</v>
      </c>
    </row>
    <row r="262" spans="1:3" x14ac:dyDescent="0.45">
      <c r="A262">
        <v>234</v>
      </c>
      <c r="B262">
        <v>14.072990200722272</v>
      </c>
      <c r="C262">
        <v>0.32700979927772877</v>
      </c>
    </row>
    <row r="263" spans="1:3" x14ac:dyDescent="0.45">
      <c r="A263">
        <v>235</v>
      </c>
      <c r="B263">
        <v>31.671931115599275</v>
      </c>
      <c r="C263">
        <v>3.2280688844007237</v>
      </c>
    </row>
    <row r="264" spans="1:3" x14ac:dyDescent="0.45">
      <c r="A264">
        <v>236</v>
      </c>
      <c r="B264">
        <v>46.872355314572076</v>
      </c>
      <c r="C264">
        <v>-9.8723553145720757</v>
      </c>
    </row>
    <row r="265" spans="1:3" x14ac:dyDescent="0.45">
      <c r="A265">
        <v>237</v>
      </c>
      <c r="B265">
        <v>-0.78993892470526506</v>
      </c>
      <c r="C265">
        <v>17.589938924705265</v>
      </c>
    </row>
    <row r="266" spans="1:3" x14ac:dyDescent="0.45">
      <c r="A266">
        <v>238</v>
      </c>
      <c r="B266">
        <v>30.44250125765938</v>
      </c>
      <c r="C266">
        <v>-19.842501257659379</v>
      </c>
    </row>
    <row r="267" spans="1:3" x14ac:dyDescent="0.45">
      <c r="A267">
        <v>239</v>
      </c>
      <c r="B267">
        <v>44.826424551188218</v>
      </c>
      <c r="C267">
        <v>-29.426424551188219</v>
      </c>
    </row>
    <row r="268" spans="1:3" x14ac:dyDescent="0.45">
      <c r="A268">
        <v>240</v>
      </c>
      <c r="B268">
        <v>18.613393765518424</v>
      </c>
      <c r="C268">
        <v>-0.61339376551842406</v>
      </c>
    </row>
    <row r="269" spans="1:3" x14ac:dyDescent="0.45">
      <c r="A269">
        <v>241</v>
      </c>
      <c r="B269">
        <v>61.87255735801542</v>
      </c>
      <c r="C269">
        <v>-5.8725573580154204</v>
      </c>
    </row>
    <row r="270" spans="1:3" x14ac:dyDescent="0.45">
      <c r="A270">
        <v>242</v>
      </c>
      <c r="B270">
        <v>60.23838451031132</v>
      </c>
      <c r="C270">
        <v>-27.938384510311323</v>
      </c>
    </row>
    <row r="271" spans="1:3" x14ac:dyDescent="0.45">
      <c r="A271">
        <v>243</v>
      </c>
      <c r="B271">
        <v>13.327985276950679</v>
      </c>
      <c r="C271">
        <v>4.87201472304932</v>
      </c>
    </row>
    <row r="272" spans="1:3" x14ac:dyDescent="0.45">
      <c r="A272">
        <v>244</v>
      </c>
      <c r="B272">
        <v>24.009905862317407</v>
      </c>
      <c r="C272">
        <v>-1.2099058623174059</v>
      </c>
    </row>
    <row r="273" spans="1:3" x14ac:dyDescent="0.45">
      <c r="A273">
        <v>245</v>
      </c>
      <c r="B273">
        <v>256.79421274435572</v>
      </c>
      <c r="C273">
        <v>-45.294212744355718</v>
      </c>
    </row>
    <row r="274" spans="1:3" x14ac:dyDescent="0.45">
      <c r="A274">
        <v>246</v>
      </c>
      <c r="B274">
        <v>45.821423942333659</v>
      </c>
      <c r="C274">
        <v>-4.4214239423336608</v>
      </c>
    </row>
    <row r="275" spans="1:3" x14ac:dyDescent="0.45">
      <c r="A275">
        <v>247</v>
      </c>
      <c r="B275">
        <v>176.09357397147332</v>
      </c>
      <c r="C275">
        <v>-33.693573971473313</v>
      </c>
    </row>
    <row r="276" spans="1:3" x14ac:dyDescent="0.45">
      <c r="A276">
        <v>248</v>
      </c>
      <c r="B276">
        <v>25.183603898291686</v>
      </c>
      <c r="C276">
        <v>-0.68360389829168611</v>
      </c>
    </row>
    <row r="277" spans="1:3" x14ac:dyDescent="0.45">
      <c r="A277">
        <v>249</v>
      </c>
      <c r="B277">
        <v>7.8592158111899515</v>
      </c>
      <c r="C277">
        <v>0.44078418881004922</v>
      </c>
    </row>
    <row r="278" spans="1:3" x14ac:dyDescent="0.45">
      <c r="A278">
        <v>250</v>
      </c>
      <c r="B278">
        <v>26.828190277721173</v>
      </c>
      <c r="C278">
        <v>-15.528190277721173</v>
      </c>
    </row>
    <row r="279" spans="1:3" x14ac:dyDescent="0.45">
      <c r="A279">
        <v>251</v>
      </c>
      <c r="B279">
        <v>51.026743676909057</v>
      </c>
      <c r="C279">
        <v>-9.8267436769090537</v>
      </c>
    </row>
    <row r="280" spans="1:3" x14ac:dyDescent="0.45">
      <c r="A280">
        <v>252</v>
      </c>
      <c r="B280">
        <v>101.00808761730114</v>
      </c>
      <c r="C280">
        <v>-56.108087617301145</v>
      </c>
    </row>
    <row r="281" spans="1:3" x14ac:dyDescent="0.45">
      <c r="A281">
        <v>253</v>
      </c>
      <c r="B281">
        <v>13.055405287529267</v>
      </c>
      <c r="C281">
        <v>0.5445947124707331</v>
      </c>
    </row>
    <row r="282" spans="1:3" x14ac:dyDescent="0.45">
      <c r="A282">
        <v>254</v>
      </c>
      <c r="B282">
        <v>32.838593206434361</v>
      </c>
      <c r="C282">
        <v>-12.438593206434362</v>
      </c>
    </row>
    <row r="283" spans="1:3" x14ac:dyDescent="0.45">
      <c r="A283">
        <v>255</v>
      </c>
      <c r="B283">
        <v>14.821790684313124</v>
      </c>
      <c r="C283">
        <v>-5.4217906843131232</v>
      </c>
    </row>
    <row r="284" spans="1:3" x14ac:dyDescent="0.45">
      <c r="A284">
        <v>256</v>
      </c>
      <c r="B284">
        <v>19.515162090428248</v>
      </c>
      <c r="C284">
        <v>-6.6151620904282478</v>
      </c>
    </row>
    <row r="285" spans="1:3" x14ac:dyDescent="0.45">
      <c r="A285">
        <v>257</v>
      </c>
      <c r="B285">
        <v>8.6064175406347054</v>
      </c>
      <c r="C285">
        <v>0.69358245936529528</v>
      </c>
    </row>
    <row r="286" spans="1:3" x14ac:dyDescent="0.45">
      <c r="A286">
        <v>258</v>
      </c>
      <c r="B286">
        <v>25.692546410513224</v>
      </c>
      <c r="C286">
        <v>-12.092546410513224</v>
      </c>
    </row>
    <row r="287" spans="1:3" x14ac:dyDescent="0.45">
      <c r="A287">
        <v>259</v>
      </c>
      <c r="B287">
        <v>245.05081891758039</v>
      </c>
      <c r="C287">
        <v>108.04918108241964</v>
      </c>
    </row>
    <row r="288" spans="1:3" x14ac:dyDescent="0.45">
      <c r="A288">
        <v>260</v>
      </c>
      <c r="B288">
        <v>41.321239203120093</v>
      </c>
      <c r="C288">
        <v>-6.5212392031200963</v>
      </c>
    </row>
    <row r="289" spans="1:3" x14ac:dyDescent="0.45">
      <c r="A289">
        <v>261</v>
      </c>
      <c r="B289">
        <v>7.8452084756525551</v>
      </c>
      <c r="C289">
        <v>378.75479152434747</v>
      </c>
    </row>
    <row r="290" spans="1:3" x14ac:dyDescent="0.45">
      <c r="A290">
        <v>262</v>
      </c>
      <c r="B290">
        <v>10.568351283480371</v>
      </c>
      <c r="C290">
        <v>-1.2683512834803707</v>
      </c>
    </row>
    <row r="291" spans="1:3" x14ac:dyDescent="0.45">
      <c r="A291">
        <v>263</v>
      </c>
      <c r="B291">
        <v>14.241047427526293</v>
      </c>
      <c r="C291">
        <v>-3.2410474275262935</v>
      </c>
    </row>
    <row r="292" spans="1:3" x14ac:dyDescent="0.45">
      <c r="A292">
        <v>264</v>
      </c>
      <c r="B292">
        <v>24.925097108789949</v>
      </c>
      <c r="C292">
        <v>-2.7250971087899494</v>
      </c>
    </row>
    <row r="293" spans="1:3" x14ac:dyDescent="0.45">
      <c r="A293">
        <v>265</v>
      </c>
      <c r="B293">
        <v>-0.29391115501744047</v>
      </c>
      <c r="C293">
        <v>22.893911155017442</v>
      </c>
    </row>
    <row r="294" spans="1:3" x14ac:dyDescent="0.45">
      <c r="A294">
        <v>266</v>
      </c>
      <c r="B294">
        <v>46.246924179436917</v>
      </c>
      <c r="C294">
        <v>-6.8469241794369182</v>
      </c>
    </row>
    <row r="295" spans="1:3" x14ac:dyDescent="0.45">
      <c r="A295">
        <v>267</v>
      </c>
      <c r="B295">
        <v>9.4398818102005322</v>
      </c>
      <c r="C295">
        <v>-3.239881810200532</v>
      </c>
    </row>
    <row r="296" spans="1:3" x14ac:dyDescent="0.45">
      <c r="A296">
        <v>268</v>
      </c>
      <c r="B296">
        <v>60.591954236076219</v>
      </c>
      <c r="C296">
        <v>-21.991954236076218</v>
      </c>
    </row>
    <row r="297" spans="1:3" x14ac:dyDescent="0.45">
      <c r="A297">
        <v>269</v>
      </c>
      <c r="B297">
        <v>22.47755926624081</v>
      </c>
      <c r="C297">
        <v>-6.3775592662408087</v>
      </c>
    </row>
    <row r="298" spans="1:3" x14ac:dyDescent="0.45">
      <c r="A298">
        <v>270</v>
      </c>
      <c r="B298">
        <v>23.9877469244494</v>
      </c>
      <c r="C298">
        <v>-13.387746924449401</v>
      </c>
    </row>
    <row r="299" spans="1:3" x14ac:dyDescent="0.45">
      <c r="A299">
        <v>271</v>
      </c>
      <c r="B299">
        <v>85.485877030716665</v>
      </c>
      <c r="C299">
        <v>4.1141229692833292</v>
      </c>
    </row>
    <row r="300" spans="1:3" x14ac:dyDescent="0.45">
      <c r="A300">
        <v>272</v>
      </c>
      <c r="B300">
        <v>47.055065184010644</v>
      </c>
      <c r="C300">
        <v>-21.555065184010644</v>
      </c>
    </row>
    <row r="301" spans="1:3" x14ac:dyDescent="0.45">
      <c r="A301">
        <v>273</v>
      </c>
      <c r="B301">
        <v>19.599911224050288</v>
      </c>
      <c r="C301">
        <v>-5.6999112240502878</v>
      </c>
    </row>
    <row r="302" spans="1:3" x14ac:dyDescent="0.45">
      <c r="A302">
        <v>274</v>
      </c>
      <c r="B302">
        <v>33.060231553156889</v>
      </c>
      <c r="C302">
        <v>-16.86023155315689</v>
      </c>
    </row>
    <row r="303" spans="1:3" x14ac:dyDescent="0.45">
      <c r="A303">
        <v>275</v>
      </c>
      <c r="B303">
        <v>36.857065657217575</v>
      </c>
      <c r="C303">
        <v>-19.557065657217574</v>
      </c>
    </row>
    <row r="304" spans="1:3" x14ac:dyDescent="0.45">
      <c r="A304">
        <v>276</v>
      </c>
      <c r="B304">
        <v>42.265533610897258</v>
      </c>
      <c r="C304">
        <v>-14.265533610897258</v>
      </c>
    </row>
    <row r="305" spans="1:3" x14ac:dyDescent="0.45">
      <c r="A305">
        <v>277</v>
      </c>
      <c r="B305">
        <v>4.2086150917058402</v>
      </c>
      <c r="C305">
        <v>1.7913849082941598</v>
      </c>
    </row>
    <row r="306" spans="1:3" x14ac:dyDescent="0.45">
      <c r="A306">
        <v>278</v>
      </c>
      <c r="B306">
        <v>14.602817301306661</v>
      </c>
      <c r="C306">
        <v>-2.8173013066616903E-3</v>
      </c>
    </row>
    <row r="307" spans="1:3" x14ac:dyDescent="0.45">
      <c r="A307">
        <v>279</v>
      </c>
      <c r="B307">
        <v>21.368486930262755</v>
      </c>
      <c r="C307">
        <v>-12.468486930262754</v>
      </c>
    </row>
    <row r="308" spans="1:3" x14ac:dyDescent="0.45">
      <c r="A308">
        <v>280</v>
      </c>
      <c r="B308">
        <v>50.140329165194338</v>
      </c>
      <c r="C308">
        <v>34.359670834805662</v>
      </c>
    </row>
    <row r="309" spans="1:3" x14ac:dyDescent="0.45">
      <c r="A309">
        <v>281</v>
      </c>
      <c r="B309">
        <v>-10.168220983262477</v>
      </c>
      <c r="C309">
        <v>27.268220983262481</v>
      </c>
    </row>
    <row r="310" spans="1:3" x14ac:dyDescent="0.45">
      <c r="A310">
        <v>282</v>
      </c>
      <c r="B310">
        <v>12.90016791833281</v>
      </c>
      <c r="C310">
        <v>-0.4001679183328104</v>
      </c>
    </row>
    <row r="311" spans="1:3" x14ac:dyDescent="0.45">
      <c r="A311">
        <v>283</v>
      </c>
      <c r="B311">
        <v>127.04190120702492</v>
      </c>
      <c r="C311">
        <v>-28.941901207024927</v>
      </c>
    </row>
    <row r="312" spans="1:3" x14ac:dyDescent="0.45">
      <c r="A312">
        <v>284</v>
      </c>
      <c r="B312">
        <v>2.0284689712751574</v>
      </c>
      <c r="C312">
        <v>14.071531028724845</v>
      </c>
    </row>
    <row r="313" spans="1:3" x14ac:dyDescent="0.45">
      <c r="A313">
        <v>285</v>
      </c>
      <c r="B313">
        <v>87.275065811601905</v>
      </c>
      <c r="C313">
        <v>-4.3750658116018997</v>
      </c>
    </row>
    <row r="314" spans="1:3" x14ac:dyDescent="0.45">
      <c r="A314">
        <v>286</v>
      </c>
      <c r="B314">
        <v>57.18813472957094</v>
      </c>
      <c r="C314">
        <v>-13.588134729570939</v>
      </c>
    </row>
    <row r="315" spans="1:3" x14ac:dyDescent="0.45">
      <c r="A315">
        <v>287</v>
      </c>
      <c r="B315">
        <v>20.260910317988486</v>
      </c>
      <c r="C315">
        <v>7.5390896820115145</v>
      </c>
    </row>
    <row r="316" spans="1:3" x14ac:dyDescent="0.45">
      <c r="A316">
        <v>288</v>
      </c>
      <c r="B316">
        <v>17.06992292777235</v>
      </c>
      <c r="C316">
        <v>-8.5699229277723497</v>
      </c>
    </row>
    <row r="317" spans="1:3" x14ac:dyDescent="0.45">
      <c r="A317">
        <v>289</v>
      </c>
      <c r="B317">
        <v>17.787056120781564</v>
      </c>
      <c r="C317">
        <v>-10.287056120781564</v>
      </c>
    </row>
    <row r="318" spans="1:3" x14ac:dyDescent="0.45">
      <c r="A318">
        <v>290</v>
      </c>
      <c r="B318">
        <v>51.106453716344419</v>
      </c>
      <c r="C318">
        <v>-19.506453716344417</v>
      </c>
    </row>
    <row r="319" spans="1:3" x14ac:dyDescent="0.45">
      <c r="A319">
        <v>291</v>
      </c>
      <c r="B319">
        <v>49.436675280794418</v>
      </c>
      <c r="C319">
        <v>1.4633247192055805</v>
      </c>
    </row>
    <row r="320" spans="1:3" x14ac:dyDescent="0.45">
      <c r="A320">
        <v>292</v>
      </c>
      <c r="B320">
        <v>40.61438276642393</v>
      </c>
      <c r="C320">
        <v>1.1856172335760675</v>
      </c>
    </row>
    <row r="321" spans="1:3" x14ac:dyDescent="0.45">
      <c r="A321">
        <v>293</v>
      </c>
      <c r="B321">
        <v>42.989035139025887</v>
      </c>
      <c r="C321">
        <v>-29.189035139025886</v>
      </c>
    </row>
    <row r="322" spans="1:3" x14ac:dyDescent="0.45">
      <c r="A322">
        <v>294</v>
      </c>
      <c r="B322">
        <v>15.121727839252873</v>
      </c>
      <c r="C322">
        <v>-1.721727839252873</v>
      </c>
    </row>
    <row r="323" spans="1:3" x14ac:dyDescent="0.45">
      <c r="A323">
        <v>295</v>
      </c>
      <c r="B323">
        <v>110.75613208020454</v>
      </c>
      <c r="C323">
        <v>76.343867919795457</v>
      </c>
    </row>
    <row r="324" spans="1:3" x14ac:dyDescent="0.45">
      <c r="A324">
        <v>296</v>
      </c>
      <c r="B324">
        <v>0.69202788272444304</v>
      </c>
      <c r="C324">
        <v>5.1079721172755566</v>
      </c>
    </row>
    <row r="325" spans="1:3" x14ac:dyDescent="0.45">
      <c r="A325">
        <v>297</v>
      </c>
      <c r="B325">
        <v>20.607066546575837</v>
      </c>
      <c r="C325">
        <v>-7.1070665465758367</v>
      </c>
    </row>
    <row r="326" spans="1:3" x14ac:dyDescent="0.45">
      <c r="A326">
        <v>298</v>
      </c>
      <c r="B326">
        <v>125.07800098048921</v>
      </c>
      <c r="C326">
        <v>7.0219990195107869</v>
      </c>
    </row>
    <row r="327" spans="1:3" x14ac:dyDescent="0.45">
      <c r="A327">
        <v>299</v>
      </c>
      <c r="B327">
        <v>44.302081053016842</v>
      </c>
      <c r="C327">
        <v>-12.802081053016842</v>
      </c>
    </row>
    <row r="328" spans="1:3" x14ac:dyDescent="0.45">
      <c r="A328">
        <v>300</v>
      </c>
      <c r="B328">
        <v>100.35353875380989</v>
      </c>
      <c r="C328">
        <v>9.7464612461901083</v>
      </c>
    </row>
    <row r="329" spans="1:3" x14ac:dyDescent="0.45">
      <c r="A329">
        <v>301</v>
      </c>
      <c r="B329">
        <v>93.340888092252357</v>
      </c>
      <c r="C329">
        <v>58.859111907747632</v>
      </c>
    </row>
    <row r="330" spans="1:3" x14ac:dyDescent="0.45">
      <c r="A330">
        <v>302</v>
      </c>
      <c r="B330">
        <v>3.1638725265384187</v>
      </c>
      <c r="C330">
        <v>45.536127473461583</v>
      </c>
    </row>
    <row r="331" spans="1:3" x14ac:dyDescent="0.45">
      <c r="A331">
        <v>303</v>
      </c>
      <c r="B331">
        <v>117.56104211115381</v>
      </c>
      <c r="C331">
        <v>-101.16104211115382</v>
      </c>
    </row>
    <row r="332" spans="1:3" x14ac:dyDescent="0.45">
      <c r="A332">
        <v>304</v>
      </c>
      <c r="B332">
        <v>27.804112891315906</v>
      </c>
      <c r="C332">
        <v>-8.2041128913159049</v>
      </c>
    </row>
    <row r="333" spans="1:3" x14ac:dyDescent="0.45">
      <c r="A333">
        <v>305</v>
      </c>
      <c r="B333">
        <v>8.3716932271479951</v>
      </c>
      <c r="C333">
        <v>1.7283067728520045</v>
      </c>
    </row>
    <row r="334" spans="1:3" x14ac:dyDescent="0.45">
      <c r="A334">
        <v>306</v>
      </c>
      <c r="B334">
        <v>29.88576014994679</v>
      </c>
      <c r="C334">
        <v>-10.485760149946792</v>
      </c>
    </row>
    <row r="335" spans="1:3" x14ac:dyDescent="0.45">
      <c r="A335">
        <v>307</v>
      </c>
      <c r="B335">
        <v>115.91008160458334</v>
      </c>
      <c r="C335">
        <v>-67.310081604583331</v>
      </c>
    </row>
    <row r="336" spans="1:3" x14ac:dyDescent="0.45">
      <c r="A336">
        <v>308</v>
      </c>
      <c r="B336">
        <v>414.63756618894405</v>
      </c>
      <c r="C336">
        <v>275.36243381105595</v>
      </c>
    </row>
    <row r="337" spans="1:3" x14ac:dyDescent="0.45">
      <c r="A337">
        <v>309</v>
      </c>
      <c r="B337">
        <v>23.100924948152816</v>
      </c>
      <c r="C337">
        <v>-13.100924948152816</v>
      </c>
    </row>
    <row r="338" spans="1:3" x14ac:dyDescent="0.45">
      <c r="A338">
        <v>310</v>
      </c>
      <c r="B338">
        <v>44.69804970704714</v>
      </c>
      <c r="C338">
        <v>-24.798049707047142</v>
      </c>
    </row>
    <row r="339" spans="1:3" x14ac:dyDescent="0.45">
      <c r="A339">
        <v>311</v>
      </c>
      <c r="B339">
        <v>36.567959682287501</v>
      </c>
      <c r="C339">
        <v>-24.167959682287503</v>
      </c>
    </row>
    <row r="340" spans="1:3" x14ac:dyDescent="0.45">
      <c r="A340">
        <v>312</v>
      </c>
      <c r="B340">
        <v>45.579441639599871</v>
      </c>
      <c r="C340">
        <v>20.220558360400126</v>
      </c>
    </row>
    <row r="341" spans="1:3" x14ac:dyDescent="0.45">
      <c r="A341">
        <v>313</v>
      </c>
      <c r="B341">
        <v>55.050742573897523</v>
      </c>
      <c r="C341">
        <v>-1.9507425738975215</v>
      </c>
    </row>
    <row r="342" spans="1:3" x14ac:dyDescent="0.45">
      <c r="A342">
        <v>314</v>
      </c>
      <c r="B342">
        <v>36.580433851715377</v>
      </c>
      <c r="C342">
        <v>-0.18043385171537807</v>
      </c>
    </row>
    <row r="343" spans="1:3" x14ac:dyDescent="0.45">
      <c r="A343">
        <v>315</v>
      </c>
      <c r="B343">
        <v>50.235154445935464</v>
      </c>
      <c r="C343">
        <v>-20.035154445935465</v>
      </c>
    </row>
    <row r="344" spans="1:3" x14ac:dyDescent="0.45">
      <c r="A344">
        <v>316</v>
      </c>
      <c r="B344">
        <v>1.1016525168391249</v>
      </c>
      <c r="C344">
        <v>96.398347483160876</v>
      </c>
    </row>
    <row r="345" spans="1:3" x14ac:dyDescent="0.45">
      <c r="A345">
        <v>317</v>
      </c>
      <c r="B345">
        <v>38.373899649175598</v>
      </c>
      <c r="C345">
        <v>-21.773899649175597</v>
      </c>
    </row>
    <row r="346" spans="1:3" x14ac:dyDescent="0.45">
      <c r="A346">
        <v>318</v>
      </c>
      <c r="B346">
        <v>33.014402984715559</v>
      </c>
      <c r="C346">
        <v>-11.31440298471556</v>
      </c>
    </row>
    <row r="347" spans="1:3" x14ac:dyDescent="0.45">
      <c r="A347">
        <v>319</v>
      </c>
      <c r="B347">
        <v>16.829111763182429</v>
      </c>
      <c r="C347">
        <v>-4.0291117631824278</v>
      </c>
    </row>
    <row r="348" spans="1:3" x14ac:dyDescent="0.45">
      <c r="A348">
        <v>320</v>
      </c>
      <c r="B348">
        <v>11.813526349484698</v>
      </c>
      <c r="C348">
        <v>1.0864736505153019</v>
      </c>
    </row>
    <row r="349" spans="1:3" x14ac:dyDescent="0.45">
      <c r="A349">
        <v>321</v>
      </c>
      <c r="B349">
        <v>-5.3734109862057284</v>
      </c>
      <c r="C349">
        <v>9.0734109862057295</v>
      </c>
    </row>
    <row r="350" spans="1:3" x14ac:dyDescent="0.45">
      <c r="A350">
        <v>322</v>
      </c>
      <c r="B350">
        <v>18.871576108295962</v>
      </c>
      <c r="C350">
        <v>-3.4715761082959613</v>
      </c>
    </row>
    <row r="351" spans="1:3" x14ac:dyDescent="0.45">
      <c r="A351">
        <v>323</v>
      </c>
      <c r="B351">
        <v>91.00740901265624</v>
      </c>
      <c r="C351">
        <v>23.792590987343758</v>
      </c>
    </row>
    <row r="352" spans="1:3" x14ac:dyDescent="0.45">
      <c r="A352">
        <v>324</v>
      </c>
      <c r="B352">
        <v>17.921585645743782</v>
      </c>
      <c r="C352">
        <v>-3.521585645743782</v>
      </c>
    </row>
    <row r="353" spans="1:3" x14ac:dyDescent="0.45">
      <c r="A353">
        <v>325</v>
      </c>
      <c r="B353">
        <v>29.397553243258614</v>
      </c>
      <c r="C353">
        <v>-23.697553243258614</v>
      </c>
    </row>
    <row r="354" spans="1:3" x14ac:dyDescent="0.45">
      <c r="A354">
        <v>326</v>
      </c>
      <c r="B354">
        <v>25.491688361909489</v>
      </c>
      <c r="C354">
        <v>-5.7916883619094897</v>
      </c>
    </row>
    <row r="355" spans="1:3" x14ac:dyDescent="0.45">
      <c r="A355">
        <v>327</v>
      </c>
      <c r="B355">
        <v>12.875374458523636</v>
      </c>
      <c r="C355">
        <v>-3.4753744585236355</v>
      </c>
    </row>
    <row r="356" spans="1:3" x14ac:dyDescent="0.45">
      <c r="A356">
        <v>328</v>
      </c>
      <c r="B356">
        <v>13.014771795140668</v>
      </c>
      <c r="C356">
        <v>-3.5147717951406676</v>
      </c>
    </row>
    <row r="357" spans="1:3" x14ac:dyDescent="0.45">
      <c r="A357">
        <v>329</v>
      </c>
      <c r="B357">
        <v>93.268597088469051</v>
      </c>
      <c r="C357">
        <v>-23.568597088469048</v>
      </c>
    </row>
    <row r="358" spans="1:3" x14ac:dyDescent="0.45">
      <c r="A358">
        <v>330</v>
      </c>
      <c r="B358">
        <v>19.61047807319612</v>
      </c>
      <c r="C358">
        <v>-6.2104780731961196</v>
      </c>
    </row>
    <row r="359" spans="1:3" x14ac:dyDescent="0.45">
      <c r="A359">
        <v>331</v>
      </c>
      <c r="B359">
        <v>57.661718017226967</v>
      </c>
      <c r="C359">
        <v>49.13828198277303</v>
      </c>
    </row>
    <row r="360" spans="1:3" x14ac:dyDescent="0.45">
      <c r="A360">
        <v>332</v>
      </c>
      <c r="B360">
        <v>13.536077729605045</v>
      </c>
      <c r="C360">
        <v>-5.7360777296050456</v>
      </c>
    </row>
    <row r="361" spans="1:3" x14ac:dyDescent="0.45">
      <c r="A361">
        <v>333</v>
      </c>
      <c r="B361">
        <v>17.402658902757885</v>
      </c>
      <c r="C361">
        <v>-4.2026589027578858</v>
      </c>
    </row>
    <row r="362" spans="1:3" x14ac:dyDescent="0.45">
      <c r="A362">
        <v>334</v>
      </c>
      <c r="B362">
        <v>14.603731484419221</v>
      </c>
      <c r="C362">
        <v>-6.4037314844192217</v>
      </c>
    </row>
    <row r="363" spans="1:3" x14ac:dyDescent="0.45">
      <c r="A363">
        <v>335</v>
      </c>
      <c r="B363">
        <v>31.806432325391839</v>
      </c>
      <c r="C363">
        <v>8.6935676746081612</v>
      </c>
    </row>
    <row r="364" spans="1:3" x14ac:dyDescent="0.45">
      <c r="A364">
        <v>336</v>
      </c>
      <c r="B364">
        <v>9.7477455539114874</v>
      </c>
      <c r="C364">
        <v>13.152254446088511</v>
      </c>
    </row>
    <row r="365" spans="1:3" x14ac:dyDescent="0.45">
      <c r="A365">
        <v>337</v>
      </c>
      <c r="B365">
        <v>83.008048417449928</v>
      </c>
      <c r="C365">
        <v>-24.20804841744993</v>
      </c>
    </row>
    <row r="366" spans="1:3" x14ac:dyDescent="0.45">
      <c r="A366">
        <v>338</v>
      </c>
      <c r="B366">
        <v>18.605690768916549</v>
      </c>
      <c r="C366">
        <v>-5.4056907689165499</v>
      </c>
    </row>
    <row r="367" spans="1:3" x14ac:dyDescent="0.45">
      <c r="A367">
        <v>339</v>
      </c>
      <c r="B367">
        <v>23.846834231912627</v>
      </c>
      <c r="C367">
        <v>-15.846834231912627</v>
      </c>
    </row>
    <row r="368" spans="1:3" x14ac:dyDescent="0.45">
      <c r="A368">
        <v>340</v>
      </c>
      <c r="B368">
        <v>24.867305727850333</v>
      </c>
      <c r="C368">
        <v>-4.8673057278503329</v>
      </c>
    </row>
    <row r="369" spans="1:3" x14ac:dyDescent="0.45">
      <c r="A369">
        <v>341</v>
      </c>
      <c r="B369">
        <v>99.303290337806047</v>
      </c>
      <c r="C369">
        <v>39.396709662193942</v>
      </c>
    </row>
    <row r="370" spans="1:3" x14ac:dyDescent="0.45">
      <c r="A370">
        <v>342</v>
      </c>
      <c r="B370">
        <v>50.594116592559715</v>
      </c>
      <c r="C370">
        <v>-29.194116592559716</v>
      </c>
    </row>
    <row r="371" spans="1:3" x14ac:dyDescent="0.45">
      <c r="A371">
        <v>343</v>
      </c>
      <c r="B371">
        <v>25.249506600637268</v>
      </c>
      <c r="C371">
        <v>-7.8495066006372696</v>
      </c>
    </row>
    <row r="372" spans="1:3" x14ac:dyDescent="0.45">
      <c r="A372">
        <v>344</v>
      </c>
      <c r="B372">
        <v>26.464128043615425</v>
      </c>
      <c r="C372">
        <v>-4.4641280436154247</v>
      </c>
    </row>
    <row r="373" spans="1:3" x14ac:dyDescent="0.45">
      <c r="A373">
        <v>345</v>
      </c>
      <c r="B373">
        <v>166.10424349674042</v>
      </c>
      <c r="C373">
        <v>36.195756503259588</v>
      </c>
    </row>
    <row r="374" spans="1:3" x14ac:dyDescent="0.45">
      <c r="A374">
        <v>346</v>
      </c>
      <c r="B374">
        <v>34.705947822569584</v>
      </c>
      <c r="C374">
        <v>-10.505947822569585</v>
      </c>
    </row>
    <row r="375" spans="1:3" x14ac:dyDescent="0.45">
      <c r="A375">
        <v>347</v>
      </c>
      <c r="B375">
        <v>17.152417966750754</v>
      </c>
      <c r="C375">
        <v>-6.0524179667507543</v>
      </c>
    </row>
    <row r="376" spans="1:3" x14ac:dyDescent="0.45">
      <c r="A376">
        <v>348</v>
      </c>
      <c r="B376">
        <v>40.411508106002479</v>
      </c>
      <c r="C376">
        <v>-16.011508106002481</v>
      </c>
    </row>
    <row r="377" spans="1:3" x14ac:dyDescent="0.45">
      <c r="A377">
        <v>349</v>
      </c>
      <c r="B377">
        <v>2.0665022009162404</v>
      </c>
      <c r="C377">
        <v>1.1334977990837598</v>
      </c>
    </row>
    <row r="378" spans="1:3" x14ac:dyDescent="0.45">
      <c r="A378">
        <v>350</v>
      </c>
      <c r="B378">
        <v>26.309730045654874</v>
      </c>
      <c r="C378">
        <v>-3.009730045654873</v>
      </c>
    </row>
    <row r="379" spans="1:3" x14ac:dyDescent="0.45">
      <c r="A379">
        <v>351</v>
      </c>
      <c r="B379">
        <v>47.575811877471857</v>
      </c>
      <c r="C379">
        <v>43.124188122528146</v>
      </c>
    </row>
    <row r="380" spans="1:3" x14ac:dyDescent="0.45">
      <c r="A380">
        <v>352</v>
      </c>
      <c r="B380">
        <v>12.896108072875428</v>
      </c>
      <c r="C380">
        <v>-0.39610807287542826</v>
      </c>
    </row>
    <row r="381" spans="1:3" x14ac:dyDescent="0.45">
      <c r="A381">
        <v>353</v>
      </c>
      <c r="B381">
        <v>0.87730392306547245</v>
      </c>
      <c r="C381">
        <v>5.6226960769345276</v>
      </c>
    </row>
    <row r="382" spans="1:3" x14ac:dyDescent="0.45">
      <c r="A382">
        <v>354</v>
      </c>
      <c r="B382">
        <v>13.714864784354617</v>
      </c>
      <c r="C382">
        <v>-5.3148647843546168</v>
      </c>
    </row>
    <row r="383" spans="1:3" x14ac:dyDescent="0.45">
      <c r="A383">
        <v>355</v>
      </c>
      <c r="B383">
        <v>197.52981917346182</v>
      </c>
      <c r="C383">
        <v>10.970180826538183</v>
      </c>
    </row>
    <row r="384" spans="1:3" x14ac:dyDescent="0.45">
      <c r="A384">
        <v>356</v>
      </c>
      <c r="B384">
        <v>60.331385626294072</v>
      </c>
      <c r="C384">
        <v>-40.031385626294067</v>
      </c>
    </row>
    <row r="385" spans="1:3" x14ac:dyDescent="0.45">
      <c r="A385">
        <v>357</v>
      </c>
      <c r="B385">
        <v>125.0725978230226</v>
      </c>
      <c r="C385">
        <v>28.52740217697739</v>
      </c>
    </row>
    <row r="386" spans="1:3" x14ac:dyDescent="0.45">
      <c r="A386">
        <v>358</v>
      </c>
      <c r="B386">
        <v>44.527356202943999</v>
      </c>
      <c r="C386">
        <v>3.4726437970560013</v>
      </c>
    </row>
    <row r="387" spans="1:3" x14ac:dyDescent="0.45">
      <c r="A387">
        <v>359</v>
      </c>
      <c r="B387">
        <v>20.869412119827821</v>
      </c>
      <c r="C387">
        <v>-12.469412119827821</v>
      </c>
    </row>
    <row r="388" spans="1:3" x14ac:dyDescent="0.45">
      <c r="A388">
        <v>360</v>
      </c>
      <c r="B388">
        <v>78.306346271054537</v>
      </c>
      <c r="C388">
        <v>-48.306346271054537</v>
      </c>
    </row>
    <row r="389" spans="1:3" x14ac:dyDescent="0.45">
      <c r="A389">
        <v>361</v>
      </c>
      <c r="B389">
        <v>8.7006076380213724</v>
      </c>
      <c r="C389">
        <v>64.59939236197863</v>
      </c>
    </row>
    <row r="390" spans="1:3" x14ac:dyDescent="0.45">
      <c r="A390">
        <v>362</v>
      </c>
      <c r="B390">
        <v>27.028023609636545</v>
      </c>
      <c r="C390">
        <v>-18.228023609636544</v>
      </c>
    </row>
    <row r="391" spans="1:3" x14ac:dyDescent="0.45">
      <c r="A391">
        <v>363</v>
      </c>
      <c r="B391">
        <v>32.416302987224427</v>
      </c>
      <c r="C391">
        <v>-3.4163029872244266</v>
      </c>
    </row>
    <row r="392" spans="1:3" x14ac:dyDescent="0.45">
      <c r="A392">
        <v>364</v>
      </c>
      <c r="B392">
        <v>36.051460251464711</v>
      </c>
      <c r="C392">
        <v>-15.25146025146471</v>
      </c>
    </row>
    <row r="393" spans="1:3" x14ac:dyDescent="0.45">
      <c r="A393">
        <v>365</v>
      </c>
      <c r="B393">
        <v>57.54385161484668</v>
      </c>
      <c r="C393">
        <v>-14.643851614846682</v>
      </c>
    </row>
    <row r="394" spans="1:3" x14ac:dyDescent="0.45">
      <c r="A394">
        <v>366</v>
      </c>
      <c r="B394">
        <v>366.92961733850098</v>
      </c>
      <c r="C394">
        <v>-275.12961733850096</v>
      </c>
    </row>
    <row r="395" spans="1:3" x14ac:dyDescent="0.45">
      <c r="A395">
        <v>367</v>
      </c>
      <c r="B395">
        <v>-1.1279235953258626</v>
      </c>
      <c r="C395">
        <v>19.627923595325864</v>
      </c>
    </row>
    <row r="396" spans="1:3" x14ac:dyDescent="0.45">
      <c r="A396">
        <v>368</v>
      </c>
      <c r="B396">
        <v>170.35546590348648</v>
      </c>
      <c r="C396">
        <v>35.944534096513536</v>
      </c>
    </row>
    <row r="397" spans="1:3" x14ac:dyDescent="0.45">
      <c r="A397">
        <v>369</v>
      </c>
      <c r="B397">
        <v>1.397818387851621</v>
      </c>
      <c r="C397">
        <v>29.702181612148379</v>
      </c>
    </row>
    <row r="398" spans="1:3" x14ac:dyDescent="0.45">
      <c r="A398">
        <v>370</v>
      </c>
      <c r="B398">
        <v>46.307430655277159</v>
      </c>
      <c r="C398">
        <v>-14.307430655277159</v>
      </c>
    </row>
    <row r="399" spans="1:3" x14ac:dyDescent="0.45">
      <c r="A399">
        <v>371</v>
      </c>
      <c r="B399">
        <v>-4.6014893856914174</v>
      </c>
      <c r="C399">
        <v>51.701489385691417</v>
      </c>
    </row>
    <row r="400" spans="1:3" x14ac:dyDescent="0.45">
      <c r="A400">
        <v>372</v>
      </c>
      <c r="B400">
        <v>39.650740412272235</v>
      </c>
      <c r="C400">
        <v>-15.550740412272233</v>
      </c>
    </row>
    <row r="401" spans="1:3" x14ac:dyDescent="0.45">
      <c r="A401">
        <v>373</v>
      </c>
      <c r="B401">
        <v>56.565451590840688</v>
      </c>
      <c r="C401">
        <v>-24.265451590840691</v>
      </c>
    </row>
    <row r="402" spans="1:3" x14ac:dyDescent="0.45">
      <c r="A402">
        <v>374</v>
      </c>
      <c r="B402">
        <v>7.8750336720344158</v>
      </c>
      <c r="C402">
        <v>0.92496632796558487</v>
      </c>
    </row>
    <row r="403" spans="1:3" x14ac:dyDescent="0.45">
      <c r="A403">
        <v>375</v>
      </c>
      <c r="B403">
        <v>24.300937751793374</v>
      </c>
      <c r="C403">
        <v>-12.800937751793374</v>
      </c>
    </row>
    <row r="404" spans="1:3" x14ac:dyDescent="0.45">
      <c r="A404">
        <v>376</v>
      </c>
      <c r="B404">
        <v>24.282190808945252</v>
      </c>
      <c r="C404">
        <v>-14.382190808945252</v>
      </c>
    </row>
    <row r="405" spans="1:3" x14ac:dyDescent="0.45">
      <c r="A405">
        <v>377</v>
      </c>
      <c r="B405">
        <v>50.290871140271996</v>
      </c>
      <c r="C405">
        <v>46.009128859728001</v>
      </c>
    </row>
    <row r="406" spans="1:3" x14ac:dyDescent="0.45">
      <c r="A406">
        <v>378</v>
      </c>
      <c r="B406">
        <v>5.7938114263033444</v>
      </c>
      <c r="C406">
        <v>-0.49381142630334462</v>
      </c>
    </row>
    <row r="407" spans="1:3" x14ac:dyDescent="0.45">
      <c r="A407">
        <v>379</v>
      </c>
      <c r="B407">
        <v>20.055575706811577</v>
      </c>
      <c r="C407">
        <v>-6.4555757068115778</v>
      </c>
    </row>
    <row r="408" spans="1:3" x14ac:dyDescent="0.45">
      <c r="A408">
        <v>380</v>
      </c>
      <c r="B408">
        <v>16.247880663871538</v>
      </c>
      <c r="C408">
        <v>-12.947880663871537</v>
      </c>
    </row>
    <row r="409" spans="1:3" x14ac:dyDescent="0.45">
      <c r="A409">
        <v>381</v>
      </c>
      <c r="B409">
        <v>6.6085471806032405</v>
      </c>
      <c r="C409">
        <v>6.5914528193967588</v>
      </c>
    </row>
    <row r="410" spans="1:3" x14ac:dyDescent="0.45">
      <c r="A410">
        <v>382</v>
      </c>
      <c r="B410">
        <v>65.151276964002889</v>
      </c>
      <c r="C410">
        <v>-6.0512769640028878</v>
      </c>
    </row>
    <row r="411" spans="1:3" x14ac:dyDescent="0.45">
      <c r="A411">
        <v>383</v>
      </c>
      <c r="B411">
        <v>30.706079680072943</v>
      </c>
      <c r="C411">
        <v>-16.906079680072942</v>
      </c>
    </row>
    <row r="412" spans="1:3" x14ac:dyDescent="0.45">
      <c r="A412">
        <v>384</v>
      </c>
      <c r="B412">
        <v>41.120022411045611</v>
      </c>
      <c r="C412">
        <v>-18.32002241104561</v>
      </c>
    </row>
    <row r="413" spans="1:3" x14ac:dyDescent="0.45">
      <c r="A413">
        <v>385</v>
      </c>
      <c r="B413">
        <v>23.905109534116772</v>
      </c>
      <c r="C413">
        <v>-14.005109534116771</v>
      </c>
    </row>
    <row r="414" spans="1:3" x14ac:dyDescent="0.45">
      <c r="A414">
        <v>386</v>
      </c>
      <c r="B414">
        <v>80.637640862003664</v>
      </c>
      <c r="C414">
        <v>-44.637640862003664</v>
      </c>
    </row>
    <row r="415" spans="1:3" x14ac:dyDescent="0.45">
      <c r="A415">
        <v>387</v>
      </c>
      <c r="B415">
        <v>0.12863422982648487</v>
      </c>
      <c r="C415">
        <v>21.371365770173515</v>
      </c>
    </row>
    <row r="416" spans="1:3" x14ac:dyDescent="0.45">
      <c r="A416">
        <v>388</v>
      </c>
      <c r="B416">
        <v>35.186625918165944</v>
      </c>
      <c r="C416">
        <v>-13.586625918165943</v>
      </c>
    </row>
    <row r="417" spans="1:3" x14ac:dyDescent="0.45">
      <c r="A417">
        <v>389</v>
      </c>
      <c r="B417">
        <v>23.795146557133631</v>
      </c>
      <c r="C417">
        <v>-10.595146557133631</v>
      </c>
    </row>
    <row r="418" spans="1:3" x14ac:dyDescent="0.45">
      <c r="A418">
        <v>390</v>
      </c>
      <c r="B418">
        <v>8.6024572821058261</v>
      </c>
      <c r="C418">
        <v>-1.6024572821058261</v>
      </c>
    </row>
    <row r="419" spans="1:3" x14ac:dyDescent="0.45">
      <c r="A419">
        <v>391</v>
      </c>
      <c r="B419">
        <v>38.491166601985093</v>
      </c>
      <c r="C419">
        <v>-14.391166601985091</v>
      </c>
    </row>
    <row r="420" spans="1:3" x14ac:dyDescent="0.45">
      <c r="A420">
        <v>392</v>
      </c>
      <c r="B420">
        <v>35.08154849950246</v>
      </c>
      <c r="C420">
        <v>-12.881548499502461</v>
      </c>
    </row>
    <row r="421" spans="1:3" x14ac:dyDescent="0.45">
      <c r="A421">
        <v>393</v>
      </c>
      <c r="B421">
        <v>55.42136664007112</v>
      </c>
      <c r="C421">
        <v>-28.221366640071121</v>
      </c>
    </row>
    <row r="422" spans="1:3" x14ac:dyDescent="0.45">
      <c r="A422">
        <v>394</v>
      </c>
      <c r="B422">
        <v>30.813259138810057</v>
      </c>
      <c r="C422">
        <v>-1.0132591388100565</v>
      </c>
    </row>
    <row r="423" spans="1:3" x14ac:dyDescent="0.45">
      <c r="A423">
        <v>395</v>
      </c>
      <c r="B423">
        <v>36.210416180478006</v>
      </c>
      <c r="C423">
        <v>-8.8104161804780077</v>
      </c>
    </row>
    <row r="424" spans="1:3" x14ac:dyDescent="0.45">
      <c r="A424">
        <v>396</v>
      </c>
      <c r="B424">
        <v>57.369225535306867</v>
      </c>
      <c r="C424">
        <v>-10.769225535306866</v>
      </c>
    </row>
    <row r="425" spans="1:3" x14ac:dyDescent="0.45">
      <c r="A425">
        <v>397</v>
      </c>
      <c r="B425">
        <v>101.68109746684479</v>
      </c>
      <c r="C425">
        <v>-22.18109746684479</v>
      </c>
    </row>
    <row r="426" spans="1:3" x14ac:dyDescent="0.45">
      <c r="A426">
        <v>398</v>
      </c>
      <c r="B426">
        <v>80.596518351500805</v>
      </c>
      <c r="C426">
        <v>-60.996518351500804</v>
      </c>
    </row>
    <row r="427" spans="1:3" x14ac:dyDescent="0.45">
      <c r="A427">
        <v>399</v>
      </c>
      <c r="B427">
        <v>8.0405700205069977</v>
      </c>
      <c r="C427">
        <v>-2.8405700205069975</v>
      </c>
    </row>
    <row r="428" spans="1:3" x14ac:dyDescent="0.45">
      <c r="A428">
        <v>400</v>
      </c>
      <c r="B428">
        <v>50.645732582540283</v>
      </c>
      <c r="C428">
        <v>45.854267417459717</v>
      </c>
    </row>
    <row r="429" spans="1:3" x14ac:dyDescent="0.45">
      <c r="A429">
        <v>401</v>
      </c>
      <c r="B429">
        <v>20.356154226975196</v>
      </c>
      <c r="C429">
        <v>-9.0561542269751953</v>
      </c>
    </row>
    <row r="430" spans="1:3" x14ac:dyDescent="0.45">
      <c r="A430">
        <v>402</v>
      </c>
      <c r="B430">
        <v>17.386321508995934</v>
      </c>
      <c r="C430">
        <v>-3.2863215089959343</v>
      </c>
    </row>
    <row r="431" spans="1:3" x14ac:dyDescent="0.45">
      <c r="A431">
        <v>403</v>
      </c>
      <c r="B431">
        <v>11.353946753356901</v>
      </c>
      <c r="C431">
        <v>-3.353946753356901</v>
      </c>
    </row>
    <row r="432" spans="1:3" x14ac:dyDescent="0.45">
      <c r="A432">
        <v>404</v>
      </c>
      <c r="B432">
        <v>45.900757253577659</v>
      </c>
      <c r="C432">
        <v>-19.70075725357766</v>
      </c>
    </row>
    <row r="433" spans="1:3" x14ac:dyDescent="0.45">
      <c r="A433">
        <v>405</v>
      </c>
      <c r="B433">
        <v>64.884654055398286</v>
      </c>
      <c r="C433">
        <v>-27.184654055398283</v>
      </c>
    </row>
    <row r="434" spans="1:3" x14ac:dyDescent="0.45">
      <c r="A434">
        <v>406</v>
      </c>
      <c r="B434">
        <v>-2.6928479367950811</v>
      </c>
      <c r="C434">
        <v>5.6928479367950811</v>
      </c>
    </row>
    <row r="435" spans="1:3" x14ac:dyDescent="0.45">
      <c r="A435">
        <v>407</v>
      </c>
      <c r="B435">
        <v>66.678159098986612</v>
      </c>
      <c r="C435">
        <v>-18.57815909898661</v>
      </c>
    </row>
    <row r="436" spans="1:3" x14ac:dyDescent="0.45">
      <c r="A436">
        <v>408</v>
      </c>
      <c r="B436">
        <v>22.777836831542977</v>
      </c>
      <c r="C436">
        <v>-4.2778368315429773</v>
      </c>
    </row>
    <row r="437" spans="1:3" x14ac:dyDescent="0.45">
      <c r="A437">
        <v>409</v>
      </c>
      <c r="B437">
        <v>27.941753495437936</v>
      </c>
      <c r="C437">
        <v>-19.341753495437935</v>
      </c>
    </row>
    <row r="438" spans="1:3" x14ac:dyDescent="0.45">
      <c r="A438">
        <v>410</v>
      </c>
      <c r="B438">
        <v>22.116066871722538</v>
      </c>
      <c r="C438">
        <v>-12.616066871722538</v>
      </c>
    </row>
    <row r="439" spans="1:3" x14ac:dyDescent="0.45">
      <c r="A439">
        <v>411</v>
      </c>
      <c r="B439">
        <v>59.206724471550594</v>
      </c>
      <c r="C439">
        <v>-15.706724471550594</v>
      </c>
    </row>
    <row r="440" spans="1:3" x14ac:dyDescent="0.45">
      <c r="A440">
        <v>412</v>
      </c>
      <c r="B440">
        <v>38.688101631109056</v>
      </c>
      <c r="C440">
        <v>-4.2881016311090576</v>
      </c>
    </row>
    <row r="441" spans="1:3" x14ac:dyDescent="0.45">
      <c r="A441">
        <v>413</v>
      </c>
      <c r="B441">
        <v>35.400131566673608</v>
      </c>
      <c r="C441">
        <v>-10.900131566673608</v>
      </c>
    </row>
    <row r="442" spans="1:3" x14ac:dyDescent="0.45">
      <c r="A442">
        <v>414</v>
      </c>
      <c r="B442">
        <v>78.842643511975922</v>
      </c>
      <c r="C442">
        <v>-2.3426435119759219</v>
      </c>
    </row>
    <row r="443" spans="1:3" x14ac:dyDescent="0.45">
      <c r="A443">
        <v>415</v>
      </c>
      <c r="B443">
        <v>8.10150555501599</v>
      </c>
      <c r="C443">
        <v>29.998494444984011</v>
      </c>
    </row>
    <row r="444" spans="1:3" x14ac:dyDescent="0.45">
      <c r="A444">
        <v>416</v>
      </c>
      <c r="B444">
        <v>11.026439172651292</v>
      </c>
      <c r="C444">
        <v>-4.8264391726512921</v>
      </c>
    </row>
    <row r="445" spans="1:3" x14ac:dyDescent="0.45">
      <c r="A445">
        <v>417</v>
      </c>
      <c r="B445">
        <v>56.250732937375645</v>
      </c>
      <c r="C445">
        <v>1.2492670626243552</v>
      </c>
    </row>
    <row r="446" spans="1:3" x14ac:dyDescent="0.45">
      <c r="A446">
        <v>418</v>
      </c>
      <c r="B446">
        <v>2.5056141715376037</v>
      </c>
      <c r="C446">
        <v>29.994385828462395</v>
      </c>
    </row>
    <row r="447" spans="1:3" x14ac:dyDescent="0.45">
      <c r="A447">
        <v>419</v>
      </c>
      <c r="B447">
        <v>19.116412700765558</v>
      </c>
      <c r="C447">
        <v>-2.616412700765558</v>
      </c>
    </row>
    <row r="448" spans="1:3" x14ac:dyDescent="0.45">
      <c r="A448">
        <v>420</v>
      </c>
      <c r="B448">
        <v>-1.3985664002735387</v>
      </c>
      <c r="C448">
        <v>30.298566400273536</v>
      </c>
    </row>
    <row r="449" spans="1:3" x14ac:dyDescent="0.45">
      <c r="A449">
        <v>421</v>
      </c>
      <c r="B449">
        <v>30.620205632335761</v>
      </c>
      <c r="C449">
        <v>-17.82020563233576</v>
      </c>
    </row>
    <row r="450" spans="1:3" x14ac:dyDescent="0.45">
      <c r="A450">
        <v>422</v>
      </c>
      <c r="B450">
        <v>33.215143613178867</v>
      </c>
      <c r="C450">
        <v>-2.8151436131788685</v>
      </c>
    </row>
    <row r="451" spans="1:3" x14ac:dyDescent="0.45">
      <c r="A451">
        <v>423</v>
      </c>
      <c r="B451">
        <v>37.575959179463467</v>
      </c>
      <c r="C451">
        <v>-11.775959179463467</v>
      </c>
    </row>
    <row r="452" spans="1:3" x14ac:dyDescent="0.45">
      <c r="A452">
        <v>424</v>
      </c>
      <c r="B452">
        <v>68.96184592763953</v>
      </c>
      <c r="C452">
        <v>-29.161845927639533</v>
      </c>
    </row>
    <row r="453" spans="1:3" x14ac:dyDescent="0.45">
      <c r="A453">
        <v>425</v>
      </c>
      <c r="B453">
        <v>35.514639089327908</v>
      </c>
      <c r="C453">
        <v>-0.51463908932790758</v>
      </c>
    </row>
    <row r="454" spans="1:3" x14ac:dyDescent="0.45">
      <c r="A454">
        <v>426</v>
      </c>
      <c r="B454">
        <v>7.8847418302546401</v>
      </c>
      <c r="C454">
        <v>6.3152581697453591</v>
      </c>
    </row>
    <row r="455" spans="1:3" x14ac:dyDescent="0.45">
      <c r="A455">
        <v>427</v>
      </c>
      <c r="B455">
        <v>84.926778206776532</v>
      </c>
      <c r="C455">
        <v>15.373221793223465</v>
      </c>
    </row>
    <row r="456" spans="1:3" x14ac:dyDescent="0.45">
      <c r="A456">
        <v>428</v>
      </c>
      <c r="B456">
        <v>20.832195998240969</v>
      </c>
      <c r="C456">
        <v>-5.5321959982409687</v>
      </c>
    </row>
    <row r="457" spans="1:3" x14ac:dyDescent="0.45">
      <c r="A457">
        <v>429</v>
      </c>
      <c r="B457">
        <v>1.3000637393446186</v>
      </c>
      <c r="C457">
        <v>54.799936260655386</v>
      </c>
    </row>
    <row r="458" spans="1:3" x14ac:dyDescent="0.45">
      <c r="A458">
        <v>430</v>
      </c>
      <c r="B458">
        <v>27.702559021185134</v>
      </c>
      <c r="C458">
        <v>-11.202559021185134</v>
      </c>
    </row>
    <row r="459" spans="1:3" x14ac:dyDescent="0.45">
      <c r="A459">
        <v>431</v>
      </c>
      <c r="B459">
        <v>42.204470946622138</v>
      </c>
      <c r="C459">
        <v>-30.904470946622137</v>
      </c>
    </row>
    <row r="460" spans="1:3" x14ac:dyDescent="0.45">
      <c r="A460">
        <v>432</v>
      </c>
      <c r="B460">
        <v>25.37699579760131</v>
      </c>
      <c r="C460">
        <v>-4.4769957976013117</v>
      </c>
    </row>
    <row r="461" spans="1:3" x14ac:dyDescent="0.45">
      <c r="A461">
        <v>433</v>
      </c>
      <c r="B461">
        <v>12.416356693146223</v>
      </c>
      <c r="C461">
        <v>-2.7163566931462242</v>
      </c>
    </row>
    <row r="462" spans="1:3" x14ac:dyDescent="0.45">
      <c r="A462">
        <v>434</v>
      </c>
      <c r="B462">
        <v>9.5319703681904819</v>
      </c>
      <c r="C462">
        <v>29.368029631809517</v>
      </c>
    </row>
    <row r="463" spans="1:3" x14ac:dyDescent="0.45">
      <c r="A463">
        <v>435</v>
      </c>
      <c r="B463">
        <v>129.96799783652529</v>
      </c>
      <c r="C463">
        <v>27.832002163474726</v>
      </c>
    </row>
    <row r="464" spans="1:3" x14ac:dyDescent="0.45">
      <c r="A464">
        <v>436</v>
      </c>
      <c r="B464">
        <v>78.526713399255186</v>
      </c>
      <c r="C464">
        <v>4.6732866007448166</v>
      </c>
    </row>
    <row r="465" spans="1:3" x14ac:dyDescent="0.45">
      <c r="A465">
        <v>437</v>
      </c>
      <c r="B465">
        <v>23.953683306485509</v>
      </c>
      <c r="C465">
        <v>-11.153683306485508</v>
      </c>
    </row>
    <row r="466" spans="1:3" x14ac:dyDescent="0.45">
      <c r="A466">
        <v>438</v>
      </c>
      <c r="B466">
        <v>77.209676686932752</v>
      </c>
      <c r="C466">
        <v>-3.0096766869327496</v>
      </c>
    </row>
    <row r="467" spans="1:3" x14ac:dyDescent="0.45">
      <c r="A467">
        <v>439</v>
      </c>
      <c r="B467">
        <v>50.56042827741669</v>
      </c>
      <c r="C467">
        <v>-2.3604282774166876</v>
      </c>
    </row>
    <row r="468" spans="1:3" x14ac:dyDescent="0.45">
      <c r="A468">
        <v>440</v>
      </c>
      <c r="B468">
        <v>5.7196575830205738</v>
      </c>
      <c r="C468">
        <v>3.8803424169794258</v>
      </c>
    </row>
    <row r="469" spans="1:3" x14ac:dyDescent="0.45">
      <c r="A469">
        <v>441</v>
      </c>
      <c r="B469">
        <v>20.911587208312106</v>
      </c>
      <c r="C469">
        <v>-5.2115872083121069</v>
      </c>
    </row>
    <row r="470" spans="1:3" x14ac:dyDescent="0.45">
      <c r="A470">
        <v>442</v>
      </c>
      <c r="B470">
        <v>12.069444983866198</v>
      </c>
      <c r="C470">
        <v>-3.5694449838661981</v>
      </c>
    </row>
    <row r="471" spans="1:3" x14ac:dyDescent="0.45">
      <c r="A471">
        <v>443</v>
      </c>
      <c r="B471">
        <v>13.954918111854552</v>
      </c>
      <c r="C471">
        <v>-8.2549181118545505</v>
      </c>
    </row>
    <row r="472" spans="1:3" x14ac:dyDescent="0.45">
      <c r="A472">
        <v>444</v>
      </c>
      <c r="B472">
        <v>52.418075768302401</v>
      </c>
      <c r="C472">
        <v>-8.4180757683024012</v>
      </c>
    </row>
    <row r="473" spans="1:3" x14ac:dyDescent="0.45">
      <c r="A473">
        <v>445</v>
      </c>
      <c r="B473">
        <v>53.471888312128797</v>
      </c>
      <c r="C473">
        <v>12.628111687871197</v>
      </c>
    </row>
    <row r="474" spans="1:3" x14ac:dyDescent="0.45">
      <c r="A474">
        <v>446</v>
      </c>
      <c r="B474">
        <v>24.919005996745955</v>
      </c>
      <c r="C474">
        <v>2.0809940032540446</v>
      </c>
    </row>
    <row r="475" spans="1:3" x14ac:dyDescent="0.45">
      <c r="A475">
        <v>447</v>
      </c>
      <c r="B475">
        <v>2.1699428126421414</v>
      </c>
      <c r="C475">
        <v>88.730057187357858</v>
      </c>
    </row>
    <row r="476" spans="1:3" x14ac:dyDescent="0.45">
      <c r="A476">
        <v>448</v>
      </c>
      <c r="B476">
        <v>20.199866605341679</v>
      </c>
      <c r="C476">
        <v>-11.099866605341679</v>
      </c>
    </row>
    <row r="477" spans="1:3" x14ac:dyDescent="0.45">
      <c r="A477">
        <v>449</v>
      </c>
      <c r="B477">
        <v>42.446384396867018</v>
      </c>
      <c r="C477">
        <v>-29.146384396867017</v>
      </c>
    </row>
    <row r="478" spans="1:3" x14ac:dyDescent="0.45">
      <c r="A478">
        <v>450</v>
      </c>
      <c r="B478">
        <v>3.8941871009208828</v>
      </c>
      <c r="C478">
        <v>2.0058128990791175</v>
      </c>
    </row>
    <row r="479" spans="1:3" x14ac:dyDescent="0.45">
      <c r="A479">
        <v>451</v>
      </c>
      <c r="B479">
        <v>3.1087656139673965</v>
      </c>
      <c r="C479">
        <v>2.2912343860326039</v>
      </c>
    </row>
    <row r="480" spans="1:3" x14ac:dyDescent="0.45">
      <c r="A480">
        <v>452</v>
      </c>
      <c r="B480">
        <v>48.968689461719038</v>
      </c>
      <c r="C480">
        <v>-29.568689461719039</v>
      </c>
    </row>
    <row r="481" spans="1:3" x14ac:dyDescent="0.45">
      <c r="A481">
        <v>453</v>
      </c>
      <c r="B481">
        <v>190.31208045937836</v>
      </c>
      <c r="C481">
        <v>28.487919540621647</v>
      </c>
    </row>
    <row r="482" spans="1:3" x14ac:dyDescent="0.45">
      <c r="A482">
        <v>454</v>
      </c>
      <c r="B482">
        <v>84.624214578494261</v>
      </c>
      <c r="C482">
        <v>11.775785421505745</v>
      </c>
    </row>
    <row r="483" spans="1:3" x14ac:dyDescent="0.45">
      <c r="A483">
        <v>455</v>
      </c>
      <c r="B483">
        <v>23.872056930975042</v>
      </c>
      <c r="C483">
        <v>-9.1720569309750424</v>
      </c>
    </row>
    <row r="484" spans="1:3" x14ac:dyDescent="0.45">
      <c r="A484">
        <v>456</v>
      </c>
      <c r="B484">
        <v>115.23016876690745</v>
      </c>
      <c r="C484">
        <v>-9.8301687669074482</v>
      </c>
    </row>
    <row r="485" spans="1:3" x14ac:dyDescent="0.45">
      <c r="A485">
        <v>457</v>
      </c>
      <c r="B485">
        <v>21.622765300560236</v>
      </c>
      <c r="C485">
        <v>-10.522765300560236</v>
      </c>
    </row>
    <row r="486" spans="1:3" x14ac:dyDescent="0.45">
      <c r="A486">
        <v>458</v>
      </c>
      <c r="B486">
        <v>-4.5915964237813958</v>
      </c>
      <c r="C486">
        <v>15.891596423781397</v>
      </c>
    </row>
    <row r="487" spans="1:3" x14ac:dyDescent="0.45">
      <c r="A487">
        <v>459</v>
      </c>
      <c r="B487">
        <v>27.262010764819649</v>
      </c>
      <c r="C487">
        <v>4.5379892351803512</v>
      </c>
    </row>
    <row r="488" spans="1:3" x14ac:dyDescent="0.45">
      <c r="A488">
        <v>460</v>
      </c>
      <c r="B488">
        <v>45.46904295486447</v>
      </c>
      <c r="C488">
        <v>-6.169042954864473</v>
      </c>
    </row>
    <row r="489" spans="1:3" x14ac:dyDescent="0.45">
      <c r="A489">
        <v>461</v>
      </c>
      <c r="B489">
        <v>24.904785147086532</v>
      </c>
      <c r="C489">
        <v>-14.204785147086533</v>
      </c>
    </row>
    <row r="490" spans="1:3" x14ac:dyDescent="0.45">
      <c r="A490">
        <v>462</v>
      </c>
      <c r="B490">
        <v>27.461102865168595</v>
      </c>
      <c r="C490">
        <v>-8.5611028651685963</v>
      </c>
    </row>
    <row r="491" spans="1:3" x14ac:dyDescent="0.45">
      <c r="A491">
        <v>463</v>
      </c>
      <c r="B491">
        <v>33.858137807709483</v>
      </c>
      <c r="C491">
        <v>-23.058137807709482</v>
      </c>
    </row>
    <row r="492" spans="1:3" x14ac:dyDescent="0.45">
      <c r="A492">
        <v>464</v>
      </c>
      <c r="B492">
        <v>29.812984718997232</v>
      </c>
      <c r="C492">
        <v>-14.212984718997232</v>
      </c>
    </row>
    <row r="493" spans="1:3" x14ac:dyDescent="0.45">
      <c r="A493">
        <v>465</v>
      </c>
      <c r="B493">
        <v>432.77723048488303</v>
      </c>
      <c r="C493">
        <v>-224.67723048488304</v>
      </c>
    </row>
    <row r="494" spans="1:3" x14ac:dyDescent="0.45">
      <c r="A494">
        <v>466</v>
      </c>
      <c r="B494">
        <v>75.803284075113268</v>
      </c>
      <c r="C494">
        <v>-36.40328407511327</v>
      </c>
    </row>
    <row r="495" spans="1:3" x14ac:dyDescent="0.45">
      <c r="A495">
        <v>467</v>
      </c>
      <c r="B495">
        <v>45.266973465682668</v>
      </c>
      <c r="C495">
        <v>-34.666973465682666</v>
      </c>
    </row>
    <row r="496" spans="1:3" x14ac:dyDescent="0.45">
      <c r="A496">
        <v>468</v>
      </c>
      <c r="B496">
        <v>159.24816354719488</v>
      </c>
      <c r="C496">
        <v>110.75183645280512</v>
      </c>
    </row>
    <row r="497" spans="1:3" x14ac:dyDescent="0.45">
      <c r="A497">
        <v>469</v>
      </c>
      <c r="B497">
        <v>7.2757145163350803</v>
      </c>
      <c r="C497">
        <v>5.5242854836649204</v>
      </c>
    </row>
    <row r="498" spans="1:3" x14ac:dyDescent="0.45">
      <c r="A498">
        <v>470</v>
      </c>
      <c r="B498">
        <v>34.181060221563392</v>
      </c>
      <c r="C498">
        <v>-17.181060221563392</v>
      </c>
    </row>
    <row r="499" spans="1:3" x14ac:dyDescent="0.45">
      <c r="A499">
        <v>471</v>
      </c>
      <c r="B499">
        <v>306.42280415831783</v>
      </c>
      <c r="C499">
        <v>-1.7228041583178424</v>
      </c>
    </row>
    <row r="500" spans="1:3" x14ac:dyDescent="0.45">
      <c r="A500">
        <v>472</v>
      </c>
      <c r="B500">
        <v>70.159942291367884</v>
      </c>
      <c r="C500">
        <v>0.74005770863212206</v>
      </c>
    </row>
    <row r="501" spans="1:3" x14ac:dyDescent="0.45">
      <c r="A501">
        <v>473</v>
      </c>
      <c r="B501">
        <v>48.83815143861181</v>
      </c>
      <c r="C501">
        <v>-13.33815143861181</v>
      </c>
    </row>
    <row r="502" spans="1:3" x14ac:dyDescent="0.45">
      <c r="A502">
        <v>474</v>
      </c>
      <c r="B502">
        <v>54.927276711072508</v>
      </c>
      <c r="C502">
        <v>-38.827276711072507</v>
      </c>
    </row>
    <row r="503" spans="1:3" x14ac:dyDescent="0.45">
      <c r="A503">
        <v>475</v>
      </c>
      <c r="B503">
        <v>28.368524901153634</v>
      </c>
      <c r="C503">
        <v>-9.4685249011536357</v>
      </c>
    </row>
    <row r="504" spans="1:3" x14ac:dyDescent="0.45">
      <c r="A504">
        <v>476</v>
      </c>
      <c r="B504">
        <v>0.25405843608619216</v>
      </c>
      <c r="C504">
        <v>281.24594156391379</v>
      </c>
    </row>
    <row r="505" spans="1:3" x14ac:dyDescent="0.45">
      <c r="A505">
        <v>477</v>
      </c>
      <c r="B505">
        <v>25.743247084811607</v>
      </c>
      <c r="C505">
        <v>-4.8432470848116083</v>
      </c>
    </row>
    <row r="506" spans="1:3" x14ac:dyDescent="0.45">
      <c r="A506">
        <v>478</v>
      </c>
      <c r="B506">
        <v>60.712942758575899</v>
      </c>
      <c r="C506">
        <v>-35.912942758575895</v>
      </c>
    </row>
    <row r="507" spans="1:3" x14ac:dyDescent="0.45">
      <c r="A507">
        <v>479</v>
      </c>
      <c r="B507">
        <v>5.9067284296599407</v>
      </c>
      <c r="C507">
        <v>3.0932715703400593</v>
      </c>
    </row>
    <row r="508" spans="1:3" x14ac:dyDescent="0.45">
      <c r="A508">
        <v>480</v>
      </c>
      <c r="B508">
        <v>26.118845242258672</v>
      </c>
      <c r="C508">
        <v>-9.7188452422586735</v>
      </c>
    </row>
    <row r="509" spans="1:3" x14ac:dyDescent="0.45">
      <c r="A509">
        <v>481</v>
      </c>
      <c r="B509">
        <v>20.127094930038389</v>
      </c>
      <c r="C509">
        <v>5.9729050699616124</v>
      </c>
    </row>
    <row r="510" spans="1:3" x14ac:dyDescent="0.45">
      <c r="A510">
        <v>482</v>
      </c>
      <c r="B510">
        <v>39.089861961403926</v>
      </c>
      <c r="C510">
        <v>-26.889861961403927</v>
      </c>
    </row>
    <row r="511" spans="1:3" x14ac:dyDescent="0.45">
      <c r="A511">
        <v>483</v>
      </c>
      <c r="B511">
        <v>49.891816433217002</v>
      </c>
      <c r="C511">
        <v>-25.091816433217002</v>
      </c>
    </row>
    <row r="512" spans="1:3" x14ac:dyDescent="0.45">
      <c r="A512">
        <v>484</v>
      </c>
      <c r="B512">
        <v>39.83443182875304</v>
      </c>
      <c r="C512">
        <v>-19.034431828753039</v>
      </c>
    </row>
    <row r="513" spans="1:3" x14ac:dyDescent="0.45">
      <c r="A513">
        <v>485</v>
      </c>
      <c r="B513">
        <v>22.322804882651099</v>
      </c>
      <c r="C513">
        <v>-10.322804882651099</v>
      </c>
    </row>
    <row r="514" spans="1:3" x14ac:dyDescent="0.45">
      <c r="A514">
        <v>486</v>
      </c>
      <c r="B514">
        <v>35.284126839026968</v>
      </c>
      <c r="C514">
        <v>-17.084126839026968</v>
      </c>
    </row>
    <row r="515" spans="1:3" x14ac:dyDescent="0.45">
      <c r="A515">
        <v>487</v>
      </c>
      <c r="B515">
        <v>39.689496737430048</v>
      </c>
      <c r="C515">
        <v>-18.089496737430046</v>
      </c>
    </row>
    <row r="516" spans="1:3" x14ac:dyDescent="0.45">
      <c r="A516">
        <v>488</v>
      </c>
      <c r="B516">
        <v>11.3110043908574</v>
      </c>
      <c r="C516">
        <v>-3.4110043908573999</v>
      </c>
    </row>
    <row r="517" spans="1:3" x14ac:dyDescent="0.45">
      <c r="A517">
        <v>489</v>
      </c>
      <c r="B517">
        <v>20.365017231767023</v>
      </c>
      <c r="C517">
        <v>-3.2650172317670219</v>
      </c>
    </row>
    <row r="518" spans="1:3" x14ac:dyDescent="0.45">
      <c r="A518">
        <v>490</v>
      </c>
      <c r="B518">
        <v>5.4543586696719046</v>
      </c>
      <c r="C518">
        <v>5.3456413303280961</v>
      </c>
    </row>
    <row r="519" spans="1:3" x14ac:dyDescent="0.45">
      <c r="A519">
        <v>491</v>
      </c>
      <c r="B519">
        <v>17.808167092218952</v>
      </c>
      <c r="C519">
        <v>-4.9081670922189513</v>
      </c>
    </row>
    <row r="520" spans="1:3" x14ac:dyDescent="0.45">
      <c r="A520">
        <v>492</v>
      </c>
      <c r="B520">
        <v>32.983748686970003</v>
      </c>
      <c r="C520">
        <v>-5.983748686970003</v>
      </c>
    </row>
    <row r="521" spans="1:3" x14ac:dyDescent="0.45">
      <c r="A521">
        <v>493</v>
      </c>
      <c r="B521">
        <v>22.198681031778147</v>
      </c>
      <c r="C521">
        <v>2.3013189682218531</v>
      </c>
    </row>
    <row r="522" spans="1:3" x14ac:dyDescent="0.45">
      <c r="A522">
        <v>494</v>
      </c>
      <c r="B522">
        <v>4.2273361377751044</v>
      </c>
      <c r="C522">
        <v>6.4726638622248949</v>
      </c>
    </row>
    <row r="523" spans="1:3" ht="14.65" thickBot="1" x14ac:dyDescent="0.5">
      <c r="A523" s="6">
        <v>495</v>
      </c>
      <c r="B523" s="6">
        <v>35.85335950694229</v>
      </c>
      <c r="C523" s="6">
        <v>0.14664049305770988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4835B-E8F7-4238-A057-0B589A3A19C0}">
  <dimension ref="A1:I522"/>
  <sheetViews>
    <sheetView tabSelected="1" topLeftCell="A3" workbookViewId="0">
      <selection activeCell="A11" sqref="A11:F14"/>
    </sheetView>
  </sheetViews>
  <sheetFormatPr defaultRowHeight="14.25" x14ac:dyDescent="0.45"/>
  <cols>
    <col min="6" max="6" width="12.33203125" bestFit="1" customWidth="1"/>
  </cols>
  <sheetData>
    <row r="1" spans="1:9" x14ac:dyDescent="0.45">
      <c r="A1" t="s">
        <v>1548</v>
      </c>
    </row>
    <row r="2" spans="1:9" ht="14.65" thickBot="1" x14ac:dyDescent="0.5"/>
    <row r="3" spans="1:9" x14ac:dyDescent="0.45">
      <c r="A3" s="8" t="s">
        <v>1549</v>
      </c>
      <c r="B3" s="8"/>
    </row>
    <row r="4" spans="1:9" x14ac:dyDescent="0.45">
      <c r="A4" t="s">
        <v>1550</v>
      </c>
      <c r="B4">
        <v>0.83003360597571008</v>
      </c>
    </row>
    <row r="5" spans="1:9" x14ac:dyDescent="0.45">
      <c r="A5" t="s">
        <v>1551</v>
      </c>
      <c r="B5">
        <v>0.68895578704904037</v>
      </c>
    </row>
    <row r="6" spans="1:9" x14ac:dyDescent="0.45">
      <c r="A6" t="s">
        <v>1552</v>
      </c>
      <c r="B6">
        <v>0.68641665061678758</v>
      </c>
    </row>
    <row r="7" spans="1:9" x14ac:dyDescent="0.45">
      <c r="A7" t="s">
        <v>1553</v>
      </c>
      <c r="B7">
        <v>50.785338497383066</v>
      </c>
    </row>
    <row r="8" spans="1:9" ht="14.65" thickBot="1" x14ac:dyDescent="0.5">
      <c r="A8" s="6" t="s">
        <v>1554</v>
      </c>
      <c r="B8" s="6">
        <v>495</v>
      </c>
    </row>
    <row r="10" spans="1:9" ht="14.65" thickBot="1" x14ac:dyDescent="0.5">
      <c r="A10" t="s">
        <v>1555</v>
      </c>
    </row>
    <row r="11" spans="1:9" x14ac:dyDescent="0.45">
      <c r="A11" s="7"/>
      <c r="B11" s="7" t="s">
        <v>1560</v>
      </c>
      <c r="C11" s="7" t="s">
        <v>1561</v>
      </c>
      <c r="D11" s="7" t="s">
        <v>984</v>
      </c>
      <c r="E11" s="7" t="s">
        <v>627</v>
      </c>
      <c r="F11" s="7" t="s">
        <v>1562</v>
      </c>
    </row>
    <row r="12" spans="1:9" x14ac:dyDescent="0.45">
      <c r="A12" t="s">
        <v>1556</v>
      </c>
      <c r="B12">
        <v>4</v>
      </c>
      <c r="C12">
        <v>2799252.0816231184</v>
      </c>
      <c r="D12">
        <v>699813.02040577959</v>
      </c>
      <c r="E12">
        <v>271.33468619399707</v>
      </c>
      <c r="F12">
        <v>9.361459054130742E-123</v>
      </c>
    </row>
    <row r="13" spans="1:9" x14ac:dyDescent="0.45">
      <c r="A13" t="s">
        <v>1557</v>
      </c>
      <c r="B13">
        <v>490</v>
      </c>
      <c r="C13">
        <v>1263783.7970839513</v>
      </c>
      <c r="D13">
        <v>2579.1506062937783</v>
      </c>
    </row>
    <row r="14" spans="1:9" ht="14.65" thickBot="1" x14ac:dyDescent="0.5">
      <c r="A14" s="6" t="s">
        <v>1558</v>
      </c>
      <c r="B14" s="6">
        <v>494</v>
      </c>
      <c r="C14" s="6">
        <v>4063035.8787070699</v>
      </c>
      <c r="D14" s="6"/>
      <c r="E14" s="6"/>
      <c r="F14" s="6"/>
    </row>
    <row r="15" spans="1:9" ht="14.65" thickBot="1" x14ac:dyDescent="0.5"/>
    <row r="16" spans="1:9" x14ac:dyDescent="0.45">
      <c r="A16" s="7"/>
      <c r="B16" s="7" t="s">
        <v>1563</v>
      </c>
      <c r="C16" s="7" t="s">
        <v>1553</v>
      </c>
      <c r="D16" s="7" t="s">
        <v>1564</v>
      </c>
      <c r="E16" s="7" t="s">
        <v>1565</v>
      </c>
      <c r="F16" s="7" t="s">
        <v>1566</v>
      </c>
      <c r="G16" s="7" t="s">
        <v>1567</v>
      </c>
      <c r="H16" s="7" t="s">
        <v>1568</v>
      </c>
      <c r="I16" s="7" t="s">
        <v>1569</v>
      </c>
    </row>
    <row r="17" spans="1:9" x14ac:dyDescent="0.45">
      <c r="A17" t="s">
        <v>1559</v>
      </c>
      <c r="B17">
        <v>-3.8604801145798877</v>
      </c>
      <c r="C17">
        <v>3.2842707201499772</v>
      </c>
      <c r="D17">
        <v>-1.1754451577011282</v>
      </c>
      <c r="E17">
        <v>0.24038749210333676</v>
      </c>
      <c r="F17">
        <v>-10.313471490548263</v>
      </c>
      <c r="G17">
        <v>2.5925112613884869</v>
      </c>
      <c r="H17">
        <v>-10.313471490548263</v>
      </c>
      <c r="I17">
        <v>2.5925112613884869</v>
      </c>
    </row>
    <row r="18" spans="1:9" x14ac:dyDescent="0.45">
      <c r="A18" t="s">
        <v>15</v>
      </c>
      <c r="B18">
        <v>9.6684017648488254</v>
      </c>
      <c r="C18">
        <v>0.33903762179565117</v>
      </c>
      <c r="D18">
        <v>28.517194385808548</v>
      </c>
      <c r="E18">
        <v>3.7699976722296179E-106</v>
      </c>
      <c r="F18">
        <v>9.0022548372666016</v>
      </c>
      <c r="G18">
        <v>10.334548692431049</v>
      </c>
      <c r="H18">
        <v>9.0022548372666016</v>
      </c>
      <c r="I18">
        <v>10.334548692431049</v>
      </c>
    </row>
    <row r="19" spans="1:9" x14ac:dyDescent="0.45">
      <c r="A19" t="s">
        <v>6</v>
      </c>
      <c r="B19">
        <v>-2.5223225586393259</v>
      </c>
      <c r="C19">
        <v>0.5283818322172098</v>
      </c>
      <c r="D19">
        <v>-4.7736738942273798</v>
      </c>
      <c r="E19">
        <v>2.3919444129098723E-6</v>
      </c>
      <c r="F19">
        <v>-3.5604962346389466</v>
      </c>
      <c r="G19">
        <v>-1.4841488826397051</v>
      </c>
      <c r="H19">
        <v>-3.5604962346389466</v>
      </c>
      <c r="I19">
        <v>-1.4841488826397051</v>
      </c>
    </row>
    <row r="20" spans="1:9" x14ac:dyDescent="0.45">
      <c r="A20" t="s">
        <v>3</v>
      </c>
      <c r="B20">
        <v>0.23882723635550934</v>
      </c>
      <c r="C20">
        <v>2.2047114306713095E-2</v>
      </c>
      <c r="D20">
        <v>10.832584846842707</v>
      </c>
      <c r="E20">
        <v>1.1651051671001098E-24</v>
      </c>
      <c r="F20">
        <v>0.19550868846195696</v>
      </c>
      <c r="G20">
        <v>0.28214578424906173</v>
      </c>
      <c r="H20">
        <v>0.19550868846195696</v>
      </c>
      <c r="I20">
        <v>0.28214578424906173</v>
      </c>
    </row>
    <row r="21" spans="1:9" ht="14.65" thickBot="1" x14ac:dyDescent="0.5">
      <c r="A21" s="6" t="s">
        <v>4</v>
      </c>
      <c r="B21" s="6">
        <v>0.13897816694939336</v>
      </c>
      <c r="C21" s="6">
        <v>5.7819622447520105E-2</v>
      </c>
      <c r="D21" s="6">
        <v>2.4036505439919931</v>
      </c>
      <c r="E21" s="6">
        <v>1.660274528286319E-2</v>
      </c>
      <c r="F21" s="6">
        <v>2.5373182218245333E-2</v>
      </c>
      <c r="G21" s="6">
        <v>0.25258315168054135</v>
      </c>
      <c r="H21" s="6">
        <v>2.5373182218245333E-2</v>
      </c>
      <c r="I21" s="6">
        <v>0.25258315168054135</v>
      </c>
    </row>
    <row r="25" spans="1:9" x14ac:dyDescent="0.45">
      <c r="A25" t="s">
        <v>1570</v>
      </c>
    </row>
    <row r="26" spans="1:9" ht="14.65" thickBot="1" x14ac:dyDescent="0.5"/>
    <row r="27" spans="1:9" x14ac:dyDescent="0.45">
      <c r="A27" s="7" t="s">
        <v>1571</v>
      </c>
      <c r="B27" s="7" t="s">
        <v>1572</v>
      </c>
      <c r="C27" s="7" t="s">
        <v>1573</v>
      </c>
    </row>
    <row r="28" spans="1:9" x14ac:dyDescent="0.45">
      <c r="A28">
        <v>1</v>
      </c>
      <c r="B28">
        <v>119.78910305445531</v>
      </c>
      <c r="C28">
        <v>18.910896945544678</v>
      </c>
    </row>
    <row r="29" spans="1:9" x14ac:dyDescent="0.45">
      <c r="A29">
        <v>2</v>
      </c>
      <c r="B29">
        <v>15.897599227213597</v>
      </c>
      <c r="C29">
        <v>-5.0975992272135962</v>
      </c>
    </row>
    <row r="30" spans="1:9" x14ac:dyDescent="0.45">
      <c r="A30">
        <v>3</v>
      </c>
      <c r="B30">
        <v>67.160813207567557</v>
      </c>
      <c r="C30">
        <v>34.939186792432437</v>
      </c>
    </row>
    <row r="31" spans="1:9" x14ac:dyDescent="0.45">
      <c r="A31">
        <v>4</v>
      </c>
      <c r="B31">
        <v>116.03116166577301</v>
      </c>
      <c r="C31">
        <v>65.368838334226993</v>
      </c>
    </row>
    <row r="32" spans="1:9" x14ac:dyDescent="0.45">
      <c r="A32">
        <v>5</v>
      </c>
      <c r="B32">
        <v>76.046796305644349</v>
      </c>
      <c r="C32">
        <v>22.753203694355648</v>
      </c>
    </row>
    <row r="33" spans="1:3" x14ac:dyDescent="0.45">
      <c r="A33">
        <v>6</v>
      </c>
      <c r="B33">
        <v>39.157134453727494</v>
      </c>
      <c r="C33">
        <v>13.342865546272506</v>
      </c>
    </row>
    <row r="34" spans="1:3" x14ac:dyDescent="0.45">
      <c r="A34">
        <v>7</v>
      </c>
      <c r="B34">
        <v>20.459754973911778</v>
      </c>
      <c r="C34">
        <v>-14.259754973911779</v>
      </c>
    </row>
    <row r="35" spans="1:3" x14ac:dyDescent="0.45">
      <c r="A35">
        <v>8</v>
      </c>
      <c r="B35">
        <v>63.251049820463734</v>
      </c>
      <c r="C35">
        <v>31.34895017953626</v>
      </c>
    </row>
    <row r="36" spans="1:3" x14ac:dyDescent="0.45">
      <c r="A36">
        <v>9</v>
      </c>
      <c r="B36">
        <v>18.126168139652261</v>
      </c>
      <c r="C36">
        <v>-10.026168139652262</v>
      </c>
    </row>
    <row r="37" spans="1:3" x14ac:dyDescent="0.45">
      <c r="A37">
        <v>10</v>
      </c>
      <c r="B37">
        <v>27.632929549560952</v>
      </c>
      <c r="C37">
        <v>-16.432929549560953</v>
      </c>
    </row>
    <row r="38" spans="1:3" x14ac:dyDescent="0.45">
      <c r="A38">
        <v>11</v>
      </c>
      <c r="B38">
        <v>33.269944521378612</v>
      </c>
      <c r="C38">
        <v>-26.369944521378613</v>
      </c>
    </row>
    <row r="39" spans="1:3" x14ac:dyDescent="0.45">
      <c r="A39">
        <v>12</v>
      </c>
      <c r="B39">
        <v>66.304755083858339</v>
      </c>
      <c r="C39">
        <v>-7.1047550838583362</v>
      </c>
    </row>
    <row r="40" spans="1:3" x14ac:dyDescent="0.45">
      <c r="A40">
        <v>13</v>
      </c>
      <c r="B40">
        <v>22.741447964042774</v>
      </c>
      <c r="C40">
        <v>-12.341447964042773</v>
      </c>
    </row>
    <row r="41" spans="1:3" x14ac:dyDescent="0.45">
      <c r="A41">
        <v>14</v>
      </c>
      <c r="B41">
        <v>-10.047791295142137</v>
      </c>
      <c r="C41">
        <v>43.447791295142139</v>
      </c>
    </row>
    <row r="42" spans="1:3" x14ac:dyDescent="0.45">
      <c r="A42">
        <v>15</v>
      </c>
      <c r="B42">
        <v>20.828546861297966</v>
      </c>
      <c r="C42">
        <v>1.1714531387020344</v>
      </c>
    </row>
    <row r="43" spans="1:3" x14ac:dyDescent="0.45">
      <c r="A43">
        <v>16</v>
      </c>
      <c r="B43">
        <v>25.714451065165118</v>
      </c>
      <c r="C43">
        <v>8.8855489348348833</v>
      </c>
    </row>
    <row r="44" spans="1:3" x14ac:dyDescent="0.45">
      <c r="A44">
        <v>17</v>
      </c>
      <c r="B44">
        <v>18.807337251393314</v>
      </c>
      <c r="C44">
        <v>-7.9073372513933133</v>
      </c>
    </row>
    <row r="45" spans="1:3" x14ac:dyDescent="0.45">
      <c r="A45">
        <v>18</v>
      </c>
      <c r="B45">
        <v>8.3279974090674571</v>
      </c>
      <c r="C45">
        <v>-0.42799740906745676</v>
      </c>
    </row>
    <row r="46" spans="1:3" x14ac:dyDescent="0.45">
      <c r="A46">
        <v>19</v>
      </c>
      <c r="B46">
        <v>17.36850584448089</v>
      </c>
      <c r="C46">
        <v>-5.5685058444808888</v>
      </c>
    </row>
    <row r="47" spans="1:3" x14ac:dyDescent="0.45">
      <c r="A47">
        <v>20</v>
      </c>
      <c r="B47">
        <v>22.189052727017586</v>
      </c>
      <c r="C47">
        <v>-10.189052727017586</v>
      </c>
    </row>
    <row r="48" spans="1:3" x14ac:dyDescent="0.45">
      <c r="A48">
        <v>21</v>
      </c>
      <c r="B48">
        <v>31.298376968381856</v>
      </c>
      <c r="C48">
        <v>-5.0983769683818565</v>
      </c>
    </row>
    <row r="49" spans="1:3" x14ac:dyDescent="0.45">
      <c r="A49">
        <v>22</v>
      </c>
      <c r="B49">
        <v>53.419818328514602</v>
      </c>
      <c r="C49">
        <v>-34.619818328514597</v>
      </c>
    </row>
    <row r="50" spans="1:3" x14ac:dyDescent="0.45">
      <c r="A50">
        <v>23</v>
      </c>
      <c r="B50">
        <v>16.390208196501021</v>
      </c>
      <c r="C50">
        <v>-8.7902081965010215</v>
      </c>
    </row>
    <row r="51" spans="1:3" x14ac:dyDescent="0.45">
      <c r="A51">
        <v>24</v>
      </c>
      <c r="B51">
        <v>-87.934365668873966</v>
      </c>
      <c r="C51">
        <v>144.63436566887395</v>
      </c>
    </row>
    <row r="52" spans="1:3" x14ac:dyDescent="0.45">
      <c r="A52">
        <v>25</v>
      </c>
      <c r="B52">
        <v>40.074074638845616</v>
      </c>
      <c r="C52">
        <v>-26.474074638845615</v>
      </c>
    </row>
    <row r="53" spans="1:3" x14ac:dyDescent="0.45">
      <c r="A53">
        <v>26</v>
      </c>
      <c r="B53">
        <v>15.209919735342382</v>
      </c>
      <c r="C53">
        <v>-6.5099197353423826</v>
      </c>
    </row>
    <row r="54" spans="1:3" x14ac:dyDescent="0.45">
      <c r="A54">
        <v>27</v>
      </c>
      <c r="B54">
        <v>7.6866817109141961</v>
      </c>
      <c r="C54">
        <v>27.1133182890858</v>
      </c>
    </row>
    <row r="55" spans="1:3" x14ac:dyDescent="0.45">
      <c r="A55">
        <v>28</v>
      </c>
      <c r="B55">
        <v>515.67036390572946</v>
      </c>
      <c r="C55">
        <v>218.1296360942705</v>
      </c>
    </row>
    <row r="56" spans="1:3" x14ac:dyDescent="0.45">
      <c r="A56">
        <v>29</v>
      </c>
      <c r="B56">
        <v>500.91381831623971</v>
      </c>
      <c r="C56">
        <v>227.58618168376029</v>
      </c>
    </row>
    <row r="57" spans="1:3" x14ac:dyDescent="0.45">
      <c r="A57">
        <v>30</v>
      </c>
      <c r="B57">
        <v>105.08690822165703</v>
      </c>
      <c r="C57">
        <v>21.913091778342974</v>
      </c>
    </row>
    <row r="58" spans="1:3" x14ac:dyDescent="0.45">
      <c r="A58">
        <v>31</v>
      </c>
      <c r="B58">
        <v>499.95923796011567</v>
      </c>
      <c r="C58">
        <v>185.94076203988431</v>
      </c>
    </row>
    <row r="59" spans="1:3" x14ac:dyDescent="0.45">
      <c r="A59">
        <v>32</v>
      </c>
      <c r="B59">
        <v>27.009318889783891</v>
      </c>
      <c r="C59">
        <v>-14.109318889783891</v>
      </c>
    </row>
    <row r="60" spans="1:3" x14ac:dyDescent="0.45">
      <c r="A60">
        <v>33</v>
      </c>
      <c r="B60">
        <v>55.339636020279265</v>
      </c>
      <c r="C60">
        <v>-30.739636020279264</v>
      </c>
    </row>
    <row r="61" spans="1:3" x14ac:dyDescent="0.45">
      <c r="A61">
        <v>34</v>
      </c>
      <c r="B61">
        <v>54.063619946302744</v>
      </c>
      <c r="C61">
        <v>-22.363619946302745</v>
      </c>
    </row>
    <row r="62" spans="1:3" x14ac:dyDescent="0.45">
      <c r="A62">
        <v>35</v>
      </c>
      <c r="B62">
        <v>12.007455029252666</v>
      </c>
      <c r="C62">
        <v>68.392544970747338</v>
      </c>
    </row>
    <row r="63" spans="1:3" x14ac:dyDescent="0.45">
      <c r="A63">
        <v>36</v>
      </c>
      <c r="B63">
        <v>15.202409401349998</v>
      </c>
      <c r="C63">
        <v>39.197590598650002</v>
      </c>
    </row>
    <row r="64" spans="1:3" x14ac:dyDescent="0.45">
      <c r="A64">
        <v>37</v>
      </c>
      <c r="B64">
        <v>62.684693603845012</v>
      </c>
      <c r="C64">
        <v>-3.4846936038450096</v>
      </c>
    </row>
    <row r="65" spans="1:3" x14ac:dyDescent="0.45">
      <c r="A65">
        <v>38</v>
      </c>
      <c r="B65">
        <v>27.752691472724315</v>
      </c>
      <c r="C65">
        <v>-13.852691472724315</v>
      </c>
    </row>
    <row r="66" spans="1:3" x14ac:dyDescent="0.45">
      <c r="A66">
        <v>39</v>
      </c>
      <c r="B66">
        <v>10.474667527922021</v>
      </c>
      <c r="C66">
        <v>13.025332472077979</v>
      </c>
    </row>
    <row r="67" spans="1:3" x14ac:dyDescent="0.45">
      <c r="A67">
        <v>40</v>
      </c>
      <c r="B67">
        <v>25.695666856840894</v>
      </c>
      <c r="C67">
        <v>-5.0956668568408929</v>
      </c>
    </row>
    <row r="68" spans="1:3" x14ac:dyDescent="0.45">
      <c r="A68">
        <v>41</v>
      </c>
      <c r="B68">
        <v>19.436982896756518</v>
      </c>
      <c r="C68">
        <v>-2.3369828967565169</v>
      </c>
    </row>
    <row r="69" spans="1:3" x14ac:dyDescent="0.45">
      <c r="A69">
        <v>42</v>
      </c>
      <c r="B69">
        <v>147.96924264650752</v>
      </c>
      <c r="C69">
        <v>-19.86924264650753</v>
      </c>
    </row>
    <row r="70" spans="1:3" x14ac:dyDescent="0.45">
      <c r="A70">
        <v>43</v>
      </c>
      <c r="B70">
        <v>31.171148002300992</v>
      </c>
      <c r="C70">
        <v>-4.1711480023009919</v>
      </c>
    </row>
    <row r="71" spans="1:3" x14ac:dyDescent="0.45">
      <c r="A71">
        <v>44</v>
      </c>
      <c r="B71">
        <v>51.456513961250536</v>
      </c>
      <c r="C71">
        <v>-19.356513961250535</v>
      </c>
    </row>
    <row r="72" spans="1:3" x14ac:dyDescent="0.45">
      <c r="A72">
        <v>45</v>
      </c>
      <c r="B72">
        <v>29.455682398803432</v>
      </c>
      <c r="C72">
        <v>2.3443176011965683</v>
      </c>
    </row>
    <row r="73" spans="1:3" x14ac:dyDescent="0.45">
      <c r="A73">
        <v>46</v>
      </c>
      <c r="B73">
        <v>30.601056191241568</v>
      </c>
      <c r="C73">
        <v>-14.901056191241569</v>
      </c>
    </row>
    <row r="74" spans="1:3" x14ac:dyDescent="0.45">
      <c r="A74">
        <v>47</v>
      </c>
      <c r="B74">
        <v>34.889763617024649</v>
      </c>
      <c r="C74">
        <v>-21.689763617024649</v>
      </c>
    </row>
    <row r="75" spans="1:3" x14ac:dyDescent="0.45">
      <c r="A75">
        <v>48</v>
      </c>
      <c r="B75">
        <v>17.657913980286018</v>
      </c>
      <c r="C75">
        <v>43.542086019713985</v>
      </c>
    </row>
    <row r="76" spans="1:3" x14ac:dyDescent="0.45">
      <c r="A76">
        <v>49</v>
      </c>
      <c r="B76">
        <v>38.138651494088059</v>
      </c>
      <c r="C76">
        <v>-3.0386514940880573</v>
      </c>
    </row>
    <row r="77" spans="1:3" x14ac:dyDescent="0.45">
      <c r="A77">
        <v>50</v>
      </c>
      <c r="B77">
        <v>11.482058922471985</v>
      </c>
      <c r="C77">
        <v>3.6179410775280143</v>
      </c>
    </row>
    <row r="78" spans="1:3" x14ac:dyDescent="0.45">
      <c r="A78">
        <v>51</v>
      </c>
      <c r="B78">
        <v>11.216200589991919</v>
      </c>
      <c r="C78">
        <v>-5.0162005899919189</v>
      </c>
    </row>
    <row r="79" spans="1:3" x14ac:dyDescent="0.45">
      <c r="A79">
        <v>52</v>
      </c>
      <c r="B79">
        <v>780.00247009025918</v>
      </c>
      <c r="C79">
        <v>29.49752990974082</v>
      </c>
    </row>
    <row r="80" spans="1:3" x14ac:dyDescent="0.45">
      <c r="A80">
        <v>53</v>
      </c>
      <c r="B80">
        <v>42.60104361729541</v>
      </c>
      <c r="C80">
        <v>8.698956382704587</v>
      </c>
    </row>
    <row r="81" spans="1:3" x14ac:dyDescent="0.45">
      <c r="A81">
        <v>54</v>
      </c>
      <c r="B81">
        <v>37.618399952435709</v>
      </c>
      <c r="C81">
        <v>-12.718399952435711</v>
      </c>
    </row>
    <row r="82" spans="1:3" x14ac:dyDescent="0.45">
      <c r="A82">
        <v>55</v>
      </c>
      <c r="B82">
        <v>31.005120287801592</v>
      </c>
      <c r="C82">
        <v>-7.4051202878015907</v>
      </c>
    </row>
    <row r="83" spans="1:3" x14ac:dyDescent="0.45">
      <c r="A83">
        <v>56</v>
      </c>
      <c r="B83">
        <v>16.740346610419699</v>
      </c>
      <c r="C83">
        <v>-4.7403466104196994</v>
      </c>
    </row>
    <row r="84" spans="1:3" x14ac:dyDescent="0.45">
      <c r="A84">
        <v>57</v>
      </c>
      <c r="B84">
        <v>-1.8008378845834718</v>
      </c>
      <c r="C84">
        <v>6.500837884583472</v>
      </c>
    </row>
    <row r="85" spans="1:3" x14ac:dyDescent="0.45">
      <c r="A85">
        <v>58</v>
      </c>
      <c r="B85">
        <v>474.83511196321467</v>
      </c>
      <c r="C85">
        <v>-248.13511196321468</v>
      </c>
    </row>
    <row r="86" spans="1:3" x14ac:dyDescent="0.45">
      <c r="A86">
        <v>59</v>
      </c>
      <c r="B86">
        <v>13.175856373160416</v>
      </c>
      <c r="C86">
        <v>11.124143626839585</v>
      </c>
    </row>
    <row r="87" spans="1:3" x14ac:dyDescent="0.45">
      <c r="A87">
        <v>60</v>
      </c>
      <c r="B87">
        <v>43.430770730014501</v>
      </c>
      <c r="C87">
        <v>6.869229269985496</v>
      </c>
    </row>
    <row r="88" spans="1:3" x14ac:dyDescent="0.45">
      <c r="A88">
        <v>61</v>
      </c>
      <c r="B88">
        <v>81.048463465087494</v>
      </c>
      <c r="C88">
        <v>-61.148463465087495</v>
      </c>
    </row>
    <row r="89" spans="1:3" x14ac:dyDescent="0.45">
      <c r="A89">
        <v>62</v>
      </c>
      <c r="B89">
        <v>32.167800367780693</v>
      </c>
      <c r="C89">
        <v>-10.267800367780694</v>
      </c>
    </row>
    <row r="90" spans="1:3" x14ac:dyDescent="0.45">
      <c r="A90">
        <v>63</v>
      </c>
      <c r="B90">
        <v>25.557518382281728</v>
      </c>
      <c r="C90">
        <v>-15.457518382281728</v>
      </c>
    </row>
    <row r="91" spans="1:3" x14ac:dyDescent="0.45">
      <c r="A91">
        <v>64</v>
      </c>
      <c r="B91">
        <v>48.855878100886095</v>
      </c>
      <c r="C91">
        <v>-15.855878100886095</v>
      </c>
    </row>
    <row r="92" spans="1:3" x14ac:dyDescent="0.45">
      <c r="A92">
        <v>65</v>
      </c>
      <c r="B92">
        <v>18.602378082865464</v>
      </c>
      <c r="C92">
        <v>-4.802378082865463</v>
      </c>
    </row>
    <row r="93" spans="1:3" x14ac:dyDescent="0.45">
      <c r="A93">
        <v>66</v>
      </c>
      <c r="B93">
        <v>1.6035451766950923</v>
      </c>
      <c r="C93">
        <v>319.89645482330491</v>
      </c>
    </row>
    <row r="94" spans="1:3" x14ac:dyDescent="0.45">
      <c r="A94">
        <v>67</v>
      </c>
      <c r="B94">
        <v>28.721010421672695</v>
      </c>
      <c r="C94">
        <v>6.9789895783273082</v>
      </c>
    </row>
    <row r="95" spans="1:3" x14ac:dyDescent="0.45">
      <c r="A95">
        <v>68</v>
      </c>
      <c r="B95">
        <v>3.6850480300213571</v>
      </c>
      <c r="C95">
        <v>38.414951969978645</v>
      </c>
    </row>
    <row r="96" spans="1:3" x14ac:dyDescent="0.45">
      <c r="A96">
        <v>69</v>
      </c>
      <c r="B96">
        <v>52.507387049661865</v>
      </c>
      <c r="C96">
        <v>-1.6073870496618667</v>
      </c>
    </row>
    <row r="97" spans="1:3" x14ac:dyDescent="0.45">
      <c r="A97">
        <v>70</v>
      </c>
      <c r="B97">
        <v>21.467066916541924</v>
      </c>
      <c r="C97">
        <v>239.93293308345807</v>
      </c>
    </row>
    <row r="98" spans="1:3" x14ac:dyDescent="0.45">
      <c r="A98">
        <v>71</v>
      </c>
      <c r="B98">
        <v>30.767401483274057</v>
      </c>
      <c r="C98">
        <v>-9.9674014832740561</v>
      </c>
    </row>
    <row r="99" spans="1:3" x14ac:dyDescent="0.45">
      <c r="A99">
        <v>72</v>
      </c>
      <c r="B99">
        <v>105.31893181744451</v>
      </c>
      <c r="C99">
        <v>-36.118931817444505</v>
      </c>
    </row>
    <row r="100" spans="1:3" x14ac:dyDescent="0.45">
      <c r="A100">
        <v>73</v>
      </c>
      <c r="B100">
        <v>99.602473047748049</v>
      </c>
      <c r="C100">
        <v>-13.702473047748043</v>
      </c>
    </row>
    <row r="101" spans="1:3" x14ac:dyDescent="0.45">
      <c r="A101">
        <v>74</v>
      </c>
      <c r="B101">
        <v>7.7223219167998742</v>
      </c>
      <c r="C101">
        <v>-2.3223219167998739</v>
      </c>
    </row>
    <row r="102" spans="1:3" x14ac:dyDescent="0.45">
      <c r="A102">
        <v>75</v>
      </c>
      <c r="B102">
        <v>165.54335799416486</v>
      </c>
      <c r="C102">
        <v>40.05664200583513</v>
      </c>
    </row>
    <row r="103" spans="1:3" x14ac:dyDescent="0.45">
      <c r="A103">
        <v>76</v>
      </c>
      <c r="B103">
        <v>17.825031785171497</v>
      </c>
      <c r="C103">
        <v>-6.2250317851714971</v>
      </c>
    </row>
    <row r="104" spans="1:3" x14ac:dyDescent="0.45">
      <c r="A104">
        <v>77</v>
      </c>
      <c r="B104">
        <v>32.530418272405718</v>
      </c>
      <c r="C104">
        <v>-14.730418272405718</v>
      </c>
    </row>
    <row r="105" spans="1:3" x14ac:dyDescent="0.45">
      <c r="A105">
        <v>78</v>
      </c>
      <c r="B105">
        <v>21.197250001705061</v>
      </c>
      <c r="C105">
        <v>14.90274999829494</v>
      </c>
    </row>
    <row r="106" spans="1:3" x14ac:dyDescent="0.45">
      <c r="A106">
        <v>79</v>
      </c>
      <c r="B106">
        <v>74.624759180734529</v>
      </c>
      <c r="C106">
        <v>-67.524759180734534</v>
      </c>
    </row>
    <row r="107" spans="1:3" x14ac:dyDescent="0.45">
      <c r="A107">
        <v>80</v>
      </c>
      <c r="B107">
        <v>57.598048946922532</v>
      </c>
      <c r="C107">
        <v>44.901951053077468</v>
      </c>
    </row>
    <row r="108" spans="1:3" x14ac:dyDescent="0.45">
      <c r="A108">
        <v>81</v>
      </c>
      <c r="B108">
        <v>110.74669941052579</v>
      </c>
      <c r="C108">
        <v>-17.946699410525795</v>
      </c>
    </row>
    <row r="109" spans="1:3" x14ac:dyDescent="0.45">
      <c r="A109">
        <v>82</v>
      </c>
      <c r="B109">
        <v>22.759493659266901</v>
      </c>
      <c r="C109">
        <v>-17.259493659266901</v>
      </c>
    </row>
    <row r="110" spans="1:3" x14ac:dyDescent="0.45">
      <c r="A110">
        <v>83</v>
      </c>
      <c r="B110">
        <v>21.05652235320882</v>
      </c>
      <c r="C110">
        <v>-8.1565223532088194</v>
      </c>
    </row>
    <row r="111" spans="1:3" x14ac:dyDescent="0.45">
      <c r="A111">
        <v>84</v>
      </c>
      <c r="B111">
        <v>16.732930865781729</v>
      </c>
      <c r="C111">
        <v>-2.5329308657817293</v>
      </c>
    </row>
    <row r="112" spans="1:3" x14ac:dyDescent="0.45">
      <c r="A112">
        <v>85</v>
      </c>
      <c r="B112">
        <v>16.23796006263386</v>
      </c>
      <c r="C112">
        <v>-5.4379600626338593</v>
      </c>
    </row>
    <row r="113" spans="1:3" x14ac:dyDescent="0.45">
      <c r="A113">
        <v>86</v>
      </c>
      <c r="B113">
        <v>12.638586628366099</v>
      </c>
      <c r="C113">
        <v>-1.7385866283660985</v>
      </c>
    </row>
    <row r="114" spans="1:3" x14ac:dyDescent="0.45">
      <c r="A114">
        <v>87</v>
      </c>
      <c r="B114">
        <v>18.055351694541944</v>
      </c>
      <c r="C114">
        <v>-4.5553516945419439</v>
      </c>
    </row>
    <row r="115" spans="1:3" x14ac:dyDescent="0.45">
      <c r="A115">
        <v>88</v>
      </c>
      <c r="B115">
        <v>11.008738633900508</v>
      </c>
      <c r="C115">
        <v>36.591261366099495</v>
      </c>
    </row>
    <row r="116" spans="1:3" x14ac:dyDescent="0.45">
      <c r="A116">
        <v>89</v>
      </c>
      <c r="B116">
        <v>21.940400531905635</v>
      </c>
      <c r="C116">
        <v>-1.4404005319056346</v>
      </c>
    </row>
    <row r="117" spans="1:3" x14ac:dyDescent="0.45">
      <c r="A117">
        <v>90</v>
      </c>
      <c r="B117">
        <v>16.762701574535139</v>
      </c>
      <c r="C117">
        <v>-4.9627015745351386</v>
      </c>
    </row>
    <row r="118" spans="1:3" x14ac:dyDescent="0.45">
      <c r="A118">
        <v>91</v>
      </c>
      <c r="B118">
        <v>50.924538077650006</v>
      </c>
      <c r="C118">
        <v>-1.7245380776500028</v>
      </c>
    </row>
    <row r="119" spans="1:3" x14ac:dyDescent="0.45">
      <c r="A119">
        <v>92</v>
      </c>
      <c r="B119">
        <v>109.09095269501699</v>
      </c>
      <c r="C119">
        <v>-17.290952695016998</v>
      </c>
    </row>
    <row r="120" spans="1:3" x14ac:dyDescent="0.45">
      <c r="A120">
        <v>93</v>
      </c>
      <c r="B120">
        <v>26.666270413893852</v>
      </c>
      <c r="C120">
        <v>-13.666270413893852</v>
      </c>
    </row>
    <row r="121" spans="1:3" x14ac:dyDescent="0.45">
      <c r="A121">
        <v>94</v>
      </c>
      <c r="B121">
        <v>20.523350110725008</v>
      </c>
      <c r="C121">
        <v>-6.1233501107250081</v>
      </c>
    </row>
    <row r="122" spans="1:3" x14ac:dyDescent="0.45">
      <c r="A122">
        <v>95</v>
      </c>
      <c r="B122">
        <v>30.169256192175887</v>
      </c>
      <c r="C122">
        <v>-9.769256192175888</v>
      </c>
    </row>
    <row r="123" spans="1:3" x14ac:dyDescent="0.45">
      <c r="A123">
        <v>96</v>
      </c>
      <c r="B123">
        <v>60.967589631202124</v>
      </c>
      <c r="C123">
        <v>13.932410368797882</v>
      </c>
    </row>
    <row r="124" spans="1:3" x14ac:dyDescent="0.45">
      <c r="A124">
        <v>97</v>
      </c>
      <c r="B124">
        <v>34.922025719908945</v>
      </c>
      <c r="C124">
        <v>-16.922025719908945</v>
      </c>
    </row>
    <row r="125" spans="1:3" x14ac:dyDescent="0.45">
      <c r="A125">
        <v>98</v>
      </c>
      <c r="B125">
        <v>24.770244679634526</v>
      </c>
      <c r="C125">
        <v>-13.370244679634526</v>
      </c>
    </row>
    <row r="126" spans="1:3" x14ac:dyDescent="0.45">
      <c r="A126">
        <v>99</v>
      </c>
      <c r="B126">
        <v>52.38614452353859</v>
      </c>
      <c r="C126">
        <v>-34.186144523538587</v>
      </c>
    </row>
    <row r="127" spans="1:3" x14ac:dyDescent="0.45">
      <c r="A127">
        <v>100</v>
      </c>
      <c r="B127">
        <v>24.386970977140336</v>
      </c>
      <c r="C127">
        <v>-3.286970977140335</v>
      </c>
    </row>
    <row r="128" spans="1:3" x14ac:dyDescent="0.45">
      <c r="A128">
        <v>101</v>
      </c>
      <c r="B128">
        <v>6.6170146582479319</v>
      </c>
      <c r="C128">
        <v>2.5829853417520674</v>
      </c>
    </row>
    <row r="129" spans="1:3" x14ac:dyDescent="0.45">
      <c r="A129">
        <v>102</v>
      </c>
      <c r="B129">
        <v>7.9015613622261123</v>
      </c>
      <c r="C129">
        <v>61.898438637773886</v>
      </c>
    </row>
    <row r="130" spans="1:3" x14ac:dyDescent="0.45">
      <c r="A130">
        <v>103</v>
      </c>
      <c r="B130">
        <v>158.2137119450131</v>
      </c>
      <c r="C130">
        <v>-71.5137119450131</v>
      </c>
    </row>
    <row r="131" spans="1:3" x14ac:dyDescent="0.45">
      <c r="A131">
        <v>104</v>
      </c>
      <c r="B131">
        <v>28.212570001515299</v>
      </c>
      <c r="C131">
        <v>-25.612570001515298</v>
      </c>
    </row>
    <row r="132" spans="1:3" x14ac:dyDescent="0.45">
      <c r="A132">
        <v>105</v>
      </c>
      <c r="B132">
        <v>293.96804427732144</v>
      </c>
      <c r="C132">
        <v>-74.968044277321439</v>
      </c>
    </row>
    <row r="133" spans="1:3" x14ac:dyDescent="0.45">
      <c r="A133">
        <v>106</v>
      </c>
      <c r="B133">
        <v>67.892994423676399</v>
      </c>
      <c r="C133">
        <v>-60.192994423676396</v>
      </c>
    </row>
    <row r="134" spans="1:3" x14ac:dyDescent="0.45">
      <c r="A134">
        <v>107</v>
      </c>
      <c r="B134">
        <v>11.417548538141979</v>
      </c>
      <c r="C134">
        <v>56.982451461858027</v>
      </c>
    </row>
    <row r="135" spans="1:3" x14ac:dyDescent="0.45">
      <c r="A135">
        <v>108</v>
      </c>
      <c r="B135">
        <v>12.185380897985443</v>
      </c>
      <c r="C135">
        <v>-0.38538089798544206</v>
      </c>
    </row>
    <row r="136" spans="1:3" x14ac:dyDescent="0.45">
      <c r="A136">
        <v>109</v>
      </c>
      <c r="B136">
        <v>25.698523091677735</v>
      </c>
      <c r="C136">
        <v>22.001476908322267</v>
      </c>
    </row>
    <row r="137" spans="1:3" x14ac:dyDescent="0.45">
      <c r="A137">
        <v>110</v>
      </c>
      <c r="B137">
        <v>46.071293571754282</v>
      </c>
      <c r="C137">
        <v>-35.971293571754281</v>
      </c>
    </row>
    <row r="138" spans="1:3" x14ac:dyDescent="0.45">
      <c r="A138">
        <v>111</v>
      </c>
      <c r="B138">
        <v>7.8035026352663639</v>
      </c>
      <c r="C138">
        <v>4.0964973647336365</v>
      </c>
    </row>
    <row r="139" spans="1:3" x14ac:dyDescent="0.45">
      <c r="A139">
        <v>112</v>
      </c>
      <c r="B139">
        <v>35.94020692011086</v>
      </c>
      <c r="C139">
        <v>-19.240206920110861</v>
      </c>
    </row>
    <row r="140" spans="1:3" x14ac:dyDescent="0.45">
      <c r="A140">
        <v>113</v>
      </c>
      <c r="B140">
        <v>151.95814277397966</v>
      </c>
      <c r="C140">
        <v>47.441857226020346</v>
      </c>
    </row>
    <row r="141" spans="1:3" x14ac:dyDescent="0.45">
      <c r="A141">
        <v>114</v>
      </c>
      <c r="B141">
        <v>22.996658984550304</v>
      </c>
      <c r="C141">
        <v>169.70334101544969</v>
      </c>
    </row>
    <row r="142" spans="1:3" x14ac:dyDescent="0.45">
      <c r="A142">
        <v>115</v>
      </c>
      <c r="B142">
        <v>0.19685601837672362</v>
      </c>
      <c r="C142">
        <v>21.803143981623275</v>
      </c>
    </row>
    <row r="143" spans="1:3" x14ac:dyDescent="0.45">
      <c r="A143">
        <v>116</v>
      </c>
      <c r="B143">
        <v>27.498650261262959</v>
      </c>
      <c r="C143">
        <v>-14.29865026126296</v>
      </c>
    </row>
    <row r="144" spans="1:3" x14ac:dyDescent="0.45">
      <c r="A144">
        <v>117</v>
      </c>
      <c r="B144">
        <v>35.079621972598297</v>
      </c>
      <c r="C144">
        <v>19.320378027401702</v>
      </c>
    </row>
    <row r="145" spans="1:3" x14ac:dyDescent="0.45">
      <c r="A145">
        <v>118</v>
      </c>
      <c r="B145">
        <v>24.376467698536022</v>
      </c>
      <c r="C145">
        <v>-12.476467698536021</v>
      </c>
    </row>
    <row r="146" spans="1:3" x14ac:dyDescent="0.45">
      <c r="A146">
        <v>119</v>
      </c>
      <c r="B146">
        <v>88.991670544116033</v>
      </c>
      <c r="C146">
        <v>100.90832945588397</v>
      </c>
    </row>
    <row r="147" spans="1:3" x14ac:dyDescent="0.45">
      <c r="A147">
        <v>120</v>
      </c>
      <c r="B147">
        <v>38.840110855362283</v>
      </c>
      <c r="C147">
        <v>6.2598891446377181</v>
      </c>
    </row>
    <row r="148" spans="1:3" x14ac:dyDescent="0.45">
      <c r="A148">
        <v>121</v>
      </c>
      <c r="B148">
        <v>49.834465204439432</v>
      </c>
      <c r="C148">
        <v>11.765534795560569</v>
      </c>
    </row>
    <row r="149" spans="1:3" x14ac:dyDescent="0.45">
      <c r="A149">
        <v>122</v>
      </c>
      <c r="B149">
        <v>273.36430898028965</v>
      </c>
      <c r="C149">
        <v>-86.86430898028965</v>
      </c>
    </row>
    <row r="150" spans="1:3" x14ac:dyDescent="0.45">
      <c r="A150">
        <v>123</v>
      </c>
      <c r="B150">
        <v>9.64623823009806</v>
      </c>
      <c r="C150">
        <v>6.6537617699019407</v>
      </c>
    </row>
    <row r="151" spans="1:3" x14ac:dyDescent="0.45">
      <c r="A151">
        <v>124</v>
      </c>
      <c r="B151">
        <v>16.031232500846155</v>
      </c>
      <c r="C151">
        <v>-1.6312325008461546</v>
      </c>
    </row>
    <row r="152" spans="1:3" x14ac:dyDescent="0.45">
      <c r="A152">
        <v>125</v>
      </c>
      <c r="B152">
        <v>90.442119865368298</v>
      </c>
      <c r="C152">
        <v>-68.442119865368298</v>
      </c>
    </row>
    <row r="153" spans="1:3" x14ac:dyDescent="0.45">
      <c r="A153">
        <v>126</v>
      </c>
      <c r="B153">
        <v>71.872398681421032</v>
      </c>
      <c r="C153">
        <v>-6.3723986814210321</v>
      </c>
    </row>
    <row r="154" spans="1:3" x14ac:dyDescent="0.45">
      <c r="A154">
        <v>127</v>
      </c>
      <c r="B154">
        <v>47.810237388632736</v>
      </c>
      <c r="C154">
        <v>-24.510237388632735</v>
      </c>
    </row>
    <row r="155" spans="1:3" x14ac:dyDescent="0.45">
      <c r="A155">
        <v>128</v>
      </c>
      <c r="B155">
        <v>57.32290966077877</v>
      </c>
      <c r="C155">
        <v>-15.622909660778767</v>
      </c>
    </row>
    <row r="156" spans="1:3" x14ac:dyDescent="0.45">
      <c r="A156">
        <v>129</v>
      </c>
      <c r="B156">
        <v>36.192962496337032</v>
      </c>
      <c r="C156">
        <v>-10.392962496337031</v>
      </c>
    </row>
    <row r="157" spans="1:3" x14ac:dyDescent="0.45">
      <c r="A157">
        <v>130</v>
      </c>
      <c r="B157">
        <v>82.810638192079338</v>
      </c>
      <c r="C157">
        <v>-2.4106381920793325</v>
      </c>
    </row>
    <row r="158" spans="1:3" x14ac:dyDescent="0.45">
      <c r="A158">
        <v>131</v>
      </c>
      <c r="B158">
        <v>7.8536771216216721</v>
      </c>
      <c r="C158">
        <v>5.2463228783783276</v>
      </c>
    </row>
    <row r="159" spans="1:3" x14ac:dyDescent="0.45">
      <c r="A159">
        <v>132</v>
      </c>
      <c r="B159">
        <v>43.577812021890203</v>
      </c>
      <c r="C159">
        <v>0.62218797810979964</v>
      </c>
    </row>
    <row r="160" spans="1:3" x14ac:dyDescent="0.45">
      <c r="A160">
        <v>133</v>
      </c>
      <c r="B160">
        <v>5.8270406113768498</v>
      </c>
      <c r="C160">
        <v>-0.72704061137685017</v>
      </c>
    </row>
    <row r="161" spans="1:3" x14ac:dyDescent="0.45">
      <c r="A161">
        <v>134</v>
      </c>
      <c r="B161">
        <v>44.273822380455776</v>
      </c>
      <c r="C161">
        <v>3.0261776195442209</v>
      </c>
    </row>
    <row r="162" spans="1:3" x14ac:dyDescent="0.45">
      <c r="A162">
        <v>135</v>
      </c>
      <c r="B162">
        <v>45.339010776836901</v>
      </c>
      <c r="C162">
        <v>-16.639010776836901</v>
      </c>
    </row>
    <row r="163" spans="1:3" x14ac:dyDescent="0.45">
      <c r="A163">
        <v>136</v>
      </c>
      <c r="B163">
        <v>115.44224843960797</v>
      </c>
      <c r="C163">
        <v>-40.142248439607968</v>
      </c>
    </row>
    <row r="164" spans="1:3" x14ac:dyDescent="0.45">
      <c r="A164">
        <v>137</v>
      </c>
      <c r="B164">
        <v>18.597739364829796</v>
      </c>
      <c r="C164">
        <v>-1.1977393648297969</v>
      </c>
    </row>
    <row r="165" spans="1:3" x14ac:dyDescent="0.45">
      <c r="A165">
        <v>138</v>
      </c>
      <c r="B165">
        <v>53.998597622929609</v>
      </c>
      <c r="C165">
        <v>12.401402377070397</v>
      </c>
    </row>
    <row r="166" spans="1:3" x14ac:dyDescent="0.45">
      <c r="A166">
        <v>139</v>
      </c>
      <c r="B166">
        <v>21.167548151291989</v>
      </c>
      <c r="C166">
        <v>-9.4675481512919895</v>
      </c>
    </row>
    <row r="167" spans="1:3" x14ac:dyDescent="0.45">
      <c r="A167">
        <v>140</v>
      </c>
      <c r="B167">
        <v>27.560924839558016</v>
      </c>
      <c r="C167">
        <v>-13.860924839558017</v>
      </c>
    </row>
    <row r="168" spans="1:3" x14ac:dyDescent="0.45">
      <c r="A168">
        <v>141</v>
      </c>
      <c r="B168">
        <v>58.9458932535317</v>
      </c>
      <c r="C168">
        <v>-6.7458932535316976</v>
      </c>
    </row>
    <row r="169" spans="1:3" x14ac:dyDescent="0.45">
      <c r="A169">
        <v>142</v>
      </c>
      <c r="B169">
        <v>77.603304003745052</v>
      </c>
      <c r="C169">
        <v>-39.203304003745053</v>
      </c>
    </row>
    <row r="170" spans="1:3" x14ac:dyDescent="0.45">
      <c r="A170">
        <v>143</v>
      </c>
      <c r="B170">
        <v>3.9779211560027896</v>
      </c>
      <c r="C170">
        <v>9.4220788439972107</v>
      </c>
    </row>
    <row r="171" spans="1:3" x14ac:dyDescent="0.45">
      <c r="A171">
        <v>144</v>
      </c>
      <c r="B171">
        <v>60.961780017746207</v>
      </c>
      <c r="C171">
        <v>-41.66178001774621</v>
      </c>
    </row>
    <row r="172" spans="1:3" x14ac:dyDescent="0.45">
      <c r="A172">
        <v>145</v>
      </c>
      <c r="B172">
        <v>29.118987749057126</v>
      </c>
      <c r="C172">
        <v>-7.7189877490571277</v>
      </c>
    </row>
    <row r="173" spans="1:3" x14ac:dyDescent="0.45">
      <c r="A173">
        <v>146</v>
      </c>
      <c r="B173">
        <v>1.4706519204163762</v>
      </c>
      <c r="C173">
        <v>25.929348079583622</v>
      </c>
    </row>
    <row r="174" spans="1:3" x14ac:dyDescent="0.45">
      <c r="A174">
        <v>147</v>
      </c>
      <c r="B174">
        <v>18.490150108563398</v>
      </c>
      <c r="C174">
        <v>-9.6901501085633974</v>
      </c>
    </row>
    <row r="175" spans="1:3" x14ac:dyDescent="0.45">
      <c r="A175">
        <v>148</v>
      </c>
      <c r="B175">
        <v>18.094506728486671</v>
      </c>
      <c r="C175">
        <v>-9.7945067284866703</v>
      </c>
    </row>
    <row r="176" spans="1:3" x14ac:dyDescent="0.45">
      <c r="A176">
        <v>149</v>
      </c>
      <c r="B176">
        <v>28.182364639056864</v>
      </c>
      <c r="C176">
        <v>-7.1823646390568641</v>
      </c>
    </row>
    <row r="177" spans="1:3" x14ac:dyDescent="0.45">
      <c r="A177">
        <v>150</v>
      </c>
      <c r="B177">
        <v>34.792663116167049</v>
      </c>
      <c r="C177">
        <v>-8.1926631161670471</v>
      </c>
    </row>
    <row r="178" spans="1:3" x14ac:dyDescent="0.45">
      <c r="A178">
        <v>151</v>
      </c>
      <c r="B178">
        <v>37.799756674850499</v>
      </c>
      <c r="C178">
        <v>-12.5997566748505</v>
      </c>
    </row>
    <row r="179" spans="1:3" x14ac:dyDescent="0.45">
      <c r="A179">
        <v>152</v>
      </c>
      <c r="B179">
        <v>65.979046283862516</v>
      </c>
      <c r="C179">
        <v>-18.479046283862516</v>
      </c>
    </row>
    <row r="180" spans="1:3" x14ac:dyDescent="0.45">
      <c r="A180">
        <v>153</v>
      </c>
      <c r="B180">
        <v>23.944750338182843</v>
      </c>
      <c r="C180">
        <v>-8.344750338182843</v>
      </c>
    </row>
    <row r="181" spans="1:3" x14ac:dyDescent="0.45">
      <c r="A181">
        <v>154</v>
      </c>
      <c r="B181">
        <v>65.564812778515289</v>
      </c>
      <c r="C181">
        <v>99.635187221484699</v>
      </c>
    </row>
    <row r="182" spans="1:3" x14ac:dyDescent="0.45">
      <c r="A182">
        <v>155</v>
      </c>
      <c r="B182">
        <v>30.809496759365903</v>
      </c>
      <c r="C182">
        <v>-9.6094967593659035</v>
      </c>
    </row>
    <row r="183" spans="1:3" x14ac:dyDescent="0.45">
      <c r="A183">
        <v>156</v>
      </c>
      <c r="B183">
        <v>37.232807155081787</v>
      </c>
      <c r="C183">
        <v>-19.432807155081786</v>
      </c>
    </row>
    <row r="184" spans="1:3" x14ac:dyDescent="0.45">
      <c r="A184">
        <v>157</v>
      </c>
      <c r="B184">
        <v>104.05762656846511</v>
      </c>
      <c r="C184">
        <v>-51.957626568465109</v>
      </c>
    </row>
    <row r="185" spans="1:3" x14ac:dyDescent="0.45">
      <c r="A185">
        <v>158</v>
      </c>
      <c r="B185">
        <v>7.3577191122685139</v>
      </c>
      <c r="C185">
        <v>1.6422808877314861</v>
      </c>
    </row>
    <row r="186" spans="1:3" x14ac:dyDescent="0.45">
      <c r="A186">
        <v>159</v>
      </c>
      <c r="B186">
        <v>46.915354236430659</v>
      </c>
      <c r="C186">
        <v>-19.51535423643066</v>
      </c>
    </row>
    <row r="187" spans="1:3" x14ac:dyDescent="0.45">
      <c r="A187">
        <v>160</v>
      </c>
      <c r="B187">
        <v>5.3718474191202228</v>
      </c>
      <c r="C187">
        <v>8.4281525808797788</v>
      </c>
    </row>
    <row r="188" spans="1:3" x14ac:dyDescent="0.45">
      <c r="A188">
        <v>161</v>
      </c>
      <c r="B188">
        <v>15.93781587058111</v>
      </c>
      <c r="C188">
        <v>-1.7378158705811106</v>
      </c>
    </row>
    <row r="189" spans="1:3" x14ac:dyDescent="0.45">
      <c r="A189">
        <v>162</v>
      </c>
      <c r="B189">
        <v>42.203550713045999</v>
      </c>
      <c r="C189">
        <v>-6.203550713045999</v>
      </c>
    </row>
    <row r="190" spans="1:3" x14ac:dyDescent="0.45">
      <c r="A190">
        <v>163</v>
      </c>
      <c r="B190">
        <v>40.128460606890698</v>
      </c>
      <c r="C190">
        <v>4.0715393931093047</v>
      </c>
    </row>
    <row r="191" spans="1:3" x14ac:dyDescent="0.45">
      <c r="A191">
        <v>164</v>
      </c>
      <c r="B191">
        <v>47.18370407894885</v>
      </c>
      <c r="C191">
        <v>-8.6837040789488498</v>
      </c>
    </row>
    <row r="192" spans="1:3" x14ac:dyDescent="0.45">
      <c r="A192">
        <v>165</v>
      </c>
      <c r="B192">
        <v>43.432628905963234</v>
      </c>
      <c r="C192">
        <v>-24.032628905963236</v>
      </c>
    </row>
    <row r="193" spans="1:3" x14ac:dyDescent="0.45">
      <c r="A193">
        <v>166</v>
      </c>
      <c r="B193">
        <v>34.56586724798413</v>
      </c>
      <c r="C193">
        <v>-7.1658672479841314</v>
      </c>
    </row>
    <row r="194" spans="1:3" x14ac:dyDescent="0.45">
      <c r="A194">
        <v>167</v>
      </c>
      <c r="B194">
        <v>36.490325775441647</v>
      </c>
      <c r="C194">
        <v>1.4096742245583513</v>
      </c>
    </row>
    <row r="195" spans="1:3" x14ac:dyDescent="0.45">
      <c r="A195">
        <v>168</v>
      </c>
      <c r="B195">
        <v>33.818492796022966</v>
      </c>
      <c r="C195">
        <v>10.181507203977034</v>
      </c>
    </row>
    <row r="196" spans="1:3" x14ac:dyDescent="0.45">
      <c r="A196">
        <v>169</v>
      </c>
      <c r="B196">
        <v>31.744308055283078</v>
      </c>
      <c r="C196">
        <v>-18.644308055283076</v>
      </c>
    </row>
    <row r="197" spans="1:3" x14ac:dyDescent="0.45">
      <c r="A197">
        <v>170</v>
      </c>
      <c r="B197">
        <v>15.041362459667633</v>
      </c>
      <c r="C197">
        <v>-10.841362459667632</v>
      </c>
    </row>
    <row r="198" spans="1:3" x14ac:dyDescent="0.45">
      <c r="A198">
        <v>171</v>
      </c>
      <c r="B198">
        <v>95.287688505835803</v>
      </c>
      <c r="C198">
        <v>-34.0876885058358</v>
      </c>
    </row>
    <row r="199" spans="1:3" x14ac:dyDescent="0.45">
      <c r="A199">
        <v>172</v>
      </c>
      <c r="B199">
        <v>35.861009251905195</v>
      </c>
      <c r="C199">
        <v>-23.261009251905193</v>
      </c>
    </row>
    <row r="200" spans="1:3" x14ac:dyDescent="0.45">
      <c r="A200">
        <v>173</v>
      </c>
      <c r="B200">
        <v>26.455638151425966</v>
      </c>
      <c r="C200">
        <v>-12.355638151425966</v>
      </c>
    </row>
    <row r="201" spans="1:3" x14ac:dyDescent="0.45">
      <c r="A201">
        <v>174</v>
      </c>
      <c r="B201">
        <v>109.23051884775624</v>
      </c>
      <c r="C201">
        <v>-75.930518847756247</v>
      </c>
    </row>
    <row r="202" spans="1:3" x14ac:dyDescent="0.45">
      <c r="A202">
        <v>175</v>
      </c>
      <c r="B202">
        <v>24.10802593439578</v>
      </c>
      <c r="C202">
        <v>-3.2080259343957813</v>
      </c>
    </row>
    <row r="203" spans="1:3" x14ac:dyDescent="0.45">
      <c r="A203">
        <v>176</v>
      </c>
      <c r="B203">
        <v>46.651181307526393</v>
      </c>
      <c r="C203">
        <v>-32.251181307526394</v>
      </c>
    </row>
    <row r="204" spans="1:3" x14ac:dyDescent="0.45">
      <c r="A204">
        <v>177</v>
      </c>
      <c r="B204">
        <v>48.507567364743771</v>
      </c>
      <c r="C204">
        <v>0.99243263525622893</v>
      </c>
    </row>
    <row r="205" spans="1:3" x14ac:dyDescent="0.45">
      <c r="A205">
        <v>178</v>
      </c>
      <c r="B205">
        <v>-2.3072891163577474</v>
      </c>
      <c r="C205">
        <v>12.407289116357747</v>
      </c>
    </row>
    <row r="206" spans="1:3" x14ac:dyDescent="0.45">
      <c r="A206">
        <v>179</v>
      </c>
      <c r="B206">
        <v>30.710908310665111</v>
      </c>
      <c r="C206">
        <v>-12.710908310665111</v>
      </c>
    </row>
    <row r="207" spans="1:3" x14ac:dyDescent="0.45">
      <c r="A207">
        <v>180</v>
      </c>
      <c r="B207">
        <v>85.828055306015685</v>
      </c>
      <c r="C207">
        <v>-51.128055306015682</v>
      </c>
    </row>
    <row r="208" spans="1:3" x14ac:dyDescent="0.45">
      <c r="A208">
        <v>181</v>
      </c>
      <c r="B208">
        <v>39.76656698413619</v>
      </c>
      <c r="C208">
        <v>-20.066566984136191</v>
      </c>
    </row>
    <row r="209" spans="1:3" x14ac:dyDescent="0.45">
      <c r="A209">
        <v>182</v>
      </c>
      <c r="B209">
        <v>14.880920365985702</v>
      </c>
      <c r="C209">
        <v>-3.8809203659857019</v>
      </c>
    </row>
    <row r="210" spans="1:3" x14ac:dyDescent="0.45">
      <c r="A210">
        <v>183</v>
      </c>
      <c r="B210">
        <v>72.131357914124678</v>
      </c>
      <c r="C210">
        <v>-29.731357914124679</v>
      </c>
    </row>
    <row r="211" spans="1:3" x14ac:dyDescent="0.45">
      <c r="A211">
        <v>184</v>
      </c>
      <c r="B211">
        <v>16.583944086443768</v>
      </c>
      <c r="C211">
        <v>-6.4839440864437687</v>
      </c>
    </row>
    <row r="212" spans="1:3" x14ac:dyDescent="0.45">
      <c r="A212">
        <v>185</v>
      </c>
      <c r="B212">
        <v>390.56961377803935</v>
      </c>
      <c r="C212">
        <v>-64.469613778039331</v>
      </c>
    </row>
    <row r="213" spans="1:3" x14ac:dyDescent="0.45">
      <c r="A213">
        <v>186</v>
      </c>
      <c r="B213">
        <v>21.247006198377687</v>
      </c>
      <c r="C213">
        <v>-12.547006198377687</v>
      </c>
    </row>
    <row r="214" spans="1:3" x14ac:dyDescent="0.45">
      <c r="A214">
        <v>187</v>
      </c>
      <c r="B214">
        <v>255.5739510165528</v>
      </c>
      <c r="C214">
        <v>267.82604898344721</v>
      </c>
    </row>
    <row r="215" spans="1:3" x14ac:dyDescent="0.45">
      <c r="A215">
        <v>188</v>
      </c>
      <c r="B215">
        <v>16.948083754316315</v>
      </c>
      <c r="C215">
        <v>-1.648083754316314</v>
      </c>
    </row>
    <row r="216" spans="1:3" x14ac:dyDescent="0.45">
      <c r="A216">
        <v>189</v>
      </c>
      <c r="B216">
        <v>20.515453698522368</v>
      </c>
      <c r="C216">
        <v>-12.415453698522368</v>
      </c>
    </row>
    <row r="217" spans="1:3" x14ac:dyDescent="0.45">
      <c r="A217">
        <v>190</v>
      </c>
      <c r="B217">
        <v>106.37878164650667</v>
      </c>
      <c r="C217">
        <v>-39.07878164650667</v>
      </c>
    </row>
    <row r="218" spans="1:3" x14ac:dyDescent="0.45">
      <c r="A218">
        <v>191</v>
      </c>
      <c r="B218">
        <v>44.090125851989711</v>
      </c>
      <c r="C218">
        <v>-11.790125851989714</v>
      </c>
    </row>
    <row r="219" spans="1:3" x14ac:dyDescent="0.45">
      <c r="A219">
        <v>192</v>
      </c>
      <c r="B219">
        <v>-1.2728413346008778</v>
      </c>
      <c r="C219">
        <v>23.672841334600875</v>
      </c>
    </row>
    <row r="220" spans="1:3" x14ac:dyDescent="0.45">
      <c r="A220">
        <v>193</v>
      </c>
      <c r="B220">
        <v>-7.7494328121980365</v>
      </c>
      <c r="C220">
        <v>21.449432812198037</v>
      </c>
    </row>
    <row r="221" spans="1:3" x14ac:dyDescent="0.45">
      <c r="A221">
        <v>194</v>
      </c>
      <c r="B221">
        <v>39.639915164024018</v>
      </c>
      <c r="C221">
        <v>-12.739915164024019</v>
      </c>
    </row>
    <row r="222" spans="1:3" x14ac:dyDescent="0.45">
      <c r="A222">
        <v>195</v>
      </c>
      <c r="B222">
        <v>11.598896298701035</v>
      </c>
      <c r="C222">
        <v>-4.8988962987010352</v>
      </c>
    </row>
    <row r="223" spans="1:3" x14ac:dyDescent="0.45">
      <c r="A223">
        <v>196</v>
      </c>
      <c r="B223">
        <v>11.534705919265996</v>
      </c>
      <c r="C223">
        <v>-6.1347059192659952</v>
      </c>
    </row>
    <row r="224" spans="1:3" x14ac:dyDescent="0.45">
      <c r="A224">
        <v>197</v>
      </c>
      <c r="B224">
        <v>13.863179194238182</v>
      </c>
      <c r="C224">
        <v>-5.8631791942381817</v>
      </c>
    </row>
    <row r="225" spans="1:3" x14ac:dyDescent="0.45">
      <c r="A225">
        <v>198</v>
      </c>
      <c r="B225">
        <v>21.833707219438395</v>
      </c>
      <c r="C225">
        <v>-10.533707219438394</v>
      </c>
    </row>
    <row r="226" spans="1:3" x14ac:dyDescent="0.45">
      <c r="A226">
        <v>199</v>
      </c>
      <c r="B226">
        <v>84.572792915619374</v>
      </c>
      <c r="C226">
        <v>-42.172792915619375</v>
      </c>
    </row>
    <row r="227" spans="1:3" x14ac:dyDescent="0.45">
      <c r="A227">
        <v>200</v>
      </c>
      <c r="B227">
        <v>24.431127242142828</v>
      </c>
      <c r="C227">
        <v>0.46887275785717009</v>
      </c>
    </row>
    <row r="228" spans="1:3" x14ac:dyDescent="0.45">
      <c r="A228">
        <v>201</v>
      </c>
      <c r="B228">
        <v>13.935840801137829</v>
      </c>
      <c r="C228">
        <v>-4.3358408011378291</v>
      </c>
    </row>
    <row r="229" spans="1:3" x14ac:dyDescent="0.45">
      <c r="A229">
        <v>202</v>
      </c>
      <c r="B229">
        <v>25.513525331352131</v>
      </c>
      <c r="C229">
        <v>-3.7135253313521304</v>
      </c>
    </row>
    <row r="230" spans="1:3" x14ac:dyDescent="0.45">
      <c r="A230">
        <v>203</v>
      </c>
      <c r="B230">
        <v>50.391454351414261</v>
      </c>
      <c r="C230">
        <v>-24.491454351414262</v>
      </c>
    </row>
    <row r="231" spans="1:3" x14ac:dyDescent="0.45">
      <c r="A231">
        <v>204</v>
      </c>
      <c r="B231">
        <v>20.791158110891718</v>
      </c>
      <c r="C231">
        <v>-8.091158110891719</v>
      </c>
    </row>
    <row r="232" spans="1:3" x14ac:dyDescent="0.45">
      <c r="A232">
        <v>205</v>
      </c>
      <c r="B232">
        <v>13.672368880822411</v>
      </c>
      <c r="C232">
        <v>-1.8723688808224104</v>
      </c>
    </row>
    <row r="233" spans="1:3" x14ac:dyDescent="0.45">
      <c r="A233">
        <v>206</v>
      </c>
      <c r="B233">
        <v>24.657770387668172</v>
      </c>
      <c r="C233">
        <v>-13.857770387668172</v>
      </c>
    </row>
    <row r="234" spans="1:3" x14ac:dyDescent="0.45">
      <c r="A234">
        <v>207</v>
      </c>
      <c r="B234">
        <v>68.614577457293777</v>
      </c>
      <c r="C234">
        <v>-4.4145774572937739</v>
      </c>
    </row>
    <row r="235" spans="1:3" x14ac:dyDescent="0.45">
      <c r="A235">
        <v>208</v>
      </c>
      <c r="B235">
        <v>1.385304917231424</v>
      </c>
      <c r="C235">
        <v>130.81469508276857</v>
      </c>
    </row>
    <row r="236" spans="1:3" x14ac:dyDescent="0.45">
      <c r="A236">
        <v>209</v>
      </c>
      <c r="B236">
        <v>16.285572901011122</v>
      </c>
      <c r="C236">
        <v>4.7144270989888781</v>
      </c>
    </row>
    <row r="237" spans="1:3" x14ac:dyDescent="0.45">
      <c r="A237">
        <v>210</v>
      </c>
      <c r="B237">
        <v>34.45530162647735</v>
      </c>
      <c r="C237">
        <v>-3.355301626477349</v>
      </c>
    </row>
    <row r="238" spans="1:3" x14ac:dyDescent="0.45">
      <c r="A238">
        <v>211</v>
      </c>
      <c r="B238">
        <v>218.85971222754554</v>
      </c>
      <c r="C238">
        <v>-157.35971222754554</v>
      </c>
    </row>
    <row r="239" spans="1:3" x14ac:dyDescent="0.45">
      <c r="A239">
        <v>212</v>
      </c>
      <c r="B239">
        <v>22.082537161215566</v>
      </c>
      <c r="C239">
        <v>-7.482537161215566</v>
      </c>
    </row>
    <row r="240" spans="1:3" x14ac:dyDescent="0.45">
      <c r="A240">
        <v>213</v>
      </c>
      <c r="B240">
        <v>161.02140975833316</v>
      </c>
      <c r="C240">
        <v>-52.921409758333169</v>
      </c>
    </row>
    <row r="241" spans="1:3" x14ac:dyDescent="0.45">
      <c r="A241">
        <v>214</v>
      </c>
      <c r="B241">
        <v>29.718215443829585</v>
      </c>
      <c r="C241">
        <v>-12.818215443829587</v>
      </c>
    </row>
    <row r="242" spans="1:3" x14ac:dyDescent="0.45">
      <c r="A242">
        <v>215</v>
      </c>
      <c r="B242">
        <v>34.986300728565695</v>
      </c>
      <c r="C242">
        <v>62.013699271434305</v>
      </c>
    </row>
    <row r="243" spans="1:3" x14ac:dyDescent="0.45">
      <c r="A243">
        <v>216</v>
      </c>
      <c r="B243">
        <v>12.243115421237253</v>
      </c>
      <c r="C243">
        <v>-4.0431154212372533</v>
      </c>
    </row>
    <row r="244" spans="1:3" x14ac:dyDescent="0.45">
      <c r="A244">
        <v>217</v>
      </c>
      <c r="B244">
        <v>48.332230691740065</v>
      </c>
      <c r="C244">
        <v>-33.732230691740064</v>
      </c>
    </row>
    <row r="245" spans="1:3" x14ac:dyDescent="0.45">
      <c r="A245">
        <v>218</v>
      </c>
      <c r="B245">
        <v>42.238206802828671</v>
      </c>
      <c r="C245">
        <v>1.1617931971713276</v>
      </c>
    </row>
    <row r="246" spans="1:3" x14ac:dyDescent="0.45">
      <c r="A246">
        <v>219</v>
      </c>
      <c r="B246">
        <v>7.3537964777518319</v>
      </c>
      <c r="C246">
        <v>0.64620352224816813</v>
      </c>
    </row>
    <row r="247" spans="1:3" x14ac:dyDescent="0.45">
      <c r="A247">
        <v>220</v>
      </c>
      <c r="B247">
        <v>12.516088305556231</v>
      </c>
      <c r="C247">
        <v>-4.3160883055562316</v>
      </c>
    </row>
    <row r="248" spans="1:3" x14ac:dyDescent="0.45">
      <c r="A248">
        <v>221</v>
      </c>
      <c r="B248">
        <v>37.953510561070772</v>
      </c>
      <c r="C248">
        <v>-19.85351056107077</v>
      </c>
    </row>
    <row r="249" spans="1:3" x14ac:dyDescent="0.45">
      <c r="A249">
        <v>222</v>
      </c>
      <c r="B249">
        <v>5.1458393785660128</v>
      </c>
      <c r="C249">
        <v>14.754160621433986</v>
      </c>
    </row>
    <row r="250" spans="1:3" x14ac:dyDescent="0.45">
      <c r="A250">
        <v>223</v>
      </c>
      <c r="B250">
        <v>20.76187440350283</v>
      </c>
      <c r="C250">
        <v>-8.0618744035028307</v>
      </c>
    </row>
    <row r="251" spans="1:3" x14ac:dyDescent="0.45">
      <c r="A251">
        <v>224</v>
      </c>
      <c r="B251">
        <v>13.255012039080729</v>
      </c>
      <c r="C251">
        <v>-2.2550120390807287</v>
      </c>
    </row>
    <row r="252" spans="1:3" x14ac:dyDescent="0.45">
      <c r="A252">
        <v>225</v>
      </c>
      <c r="B252">
        <v>11.917530780182179</v>
      </c>
      <c r="C252">
        <v>-4.6175307801821797</v>
      </c>
    </row>
    <row r="253" spans="1:3" x14ac:dyDescent="0.45">
      <c r="A253">
        <v>226</v>
      </c>
      <c r="B253">
        <v>17.668348028220322</v>
      </c>
      <c r="C253">
        <v>-6.168348028220322</v>
      </c>
    </row>
    <row r="254" spans="1:3" x14ac:dyDescent="0.45">
      <c r="A254">
        <v>227</v>
      </c>
      <c r="B254">
        <v>47.672815158458263</v>
      </c>
      <c r="C254">
        <v>-33.672815158458263</v>
      </c>
    </row>
    <row r="255" spans="1:3" x14ac:dyDescent="0.45">
      <c r="A255">
        <v>228</v>
      </c>
      <c r="B255">
        <v>36.582857704437849</v>
      </c>
      <c r="C255">
        <v>-11.782857704437848</v>
      </c>
    </row>
    <row r="256" spans="1:3" x14ac:dyDescent="0.45">
      <c r="A256">
        <v>229</v>
      </c>
      <c r="B256">
        <v>44.410341392446803</v>
      </c>
      <c r="C256">
        <v>-18.210341392446804</v>
      </c>
    </row>
    <row r="257" spans="1:3" x14ac:dyDescent="0.45">
      <c r="A257">
        <v>230</v>
      </c>
      <c r="B257">
        <v>16.886298512062023</v>
      </c>
      <c r="C257">
        <v>-5.6862985120620237</v>
      </c>
    </row>
    <row r="258" spans="1:3" x14ac:dyDescent="0.45">
      <c r="A258">
        <v>231</v>
      </c>
      <c r="B258">
        <v>186.55950354023906</v>
      </c>
      <c r="C258">
        <v>36.840496459760942</v>
      </c>
    </row>
    <row r="259" spans="1:3" x14ac:dyDescent="0.45">
      <c r="A259">
        <v>232</v>
      </c>
      <c r="B259">
        <v>108.8884451568405</v>
      </c>
      <c r="C259">
        <v>5.5115548431595016</v>
      </c>
    </row>
    <row r="260" spans="1:3" x14ac:dyDescent="0.45">
      <c r="A260">
        <v>233</v>
      </c>
      <c r="B260">
        <v>16.241626046253813</v>
      </c>
      <c r="C260">
        <v>1.0583739537461874</v>
      </c>
    </row>
    <row r="261" spans="1:3" x14ac:dyDescent="0.45">
      <c r="A261">
        <v>234</v>
      </c>
      <c r="B261">
        <v>14.108089019388727</v>
      </c>
      <c r="C261">
        <v>0.29191098061127363</v>
      </c>
    </row>
    <row r="262" spans="1:3" x14ac:dyDescent="0.45">
      <c r="A262">
        <v>235</v>
      </c>
      <c r="B262">
        <v>34.589250826269101</v>
      </c>
      <c r="C262">
        <v>0.31074917373089761</v>
      </c>
    </row>
    <row r="263" spans="1:3" x14ac:dyDescent="0.45">
      <c r="A263">
        <v>236</v>
      </c>
      <c r="B263">
        <v>51.671713457936356</v>
      </c>
      <c r="C263">
        <v>-14.671713457936356</v>
      </c>
    </row>
    <row r="264" spans="1:3" x14ac:dyDescent="0.45">
      <c r="A264">
        <v>237</v>
      </c>
      <c r="B264">
        <v>-0.63485785156087093</v>
      </c>
      <c r="C264">
        <v>17.434857851560871</v>
      </c>
    </row>
    <row r="265" spans="1:3" x14ac:dyDescent="0.45">
      <c r="A265">
        <v>238</v>
      </c>
      <c r="B265">
        <v>32.558877627028274</v>
      </c>
      <c r="C265">
        <v>-21.958877627028272</v>
      </c>
    </row>
    <row r="266" spans="1:3" x14ac:dyDescent="0.45">
      <c r="A266">
        <v>239</v>
      </c>
      <c r="B266">
        <v>41.431827419184529</v>
      </c>
      <c r="C266">
        <v>-26.03182741918453</v>
      </c>
    </row>
    <row r="267" spans="1:3" x14ac:dyDescent="0.45">
      <c r="A267">
        <v>240</v>
      </c>
      <c r="B267">
        <v>17.369352329860646</v>
      </c>
      <c r="C267">
        <v>0.63064767013935352</v>
      </c>
    </row>
    <row r="268" spans="1:3" x14ac:dyDescent="0.45">
      <c r="A268">
        <v>241</v>
      </c>
      <c r="B268">
        <v>62.163336393600865</v>
      </c>
      <c r="C268">
        <v>-6.1633363936008649</v>
      </c>
    </row>
    <row r="269" spans="1:3" x14ac:dyDescent="0.45">
      <c r="A269">
        <v>242</v>
      </c>
      <c r="B269">
        <v>52.637243343772447</v>
      </c>
      <c r="C269">
        <v>-20.33724334377245</v>
      </c>
    </row>
    <row r="270" spans="1:3" x14ac:dyDescent="0.45">
      <c r="A270">
        <v>243</v>
      </c>
      <c r="B270">
        <v>-2.8090852333384309</v>
      </c>
      <c r="C270">
        <v>21.009085233338432</v>
      </c>
    </row>
    <row r="271" spans="1:3" x14ac:dyDescent="0.45">
      <c r="A271">
        <v>244</v>
      </c>
      <c r="B271">
        <v>26.302810823038243</v>
      </c>
      <c r="C271">
        <v>-3.5028108230382422</v>
      </c>
    </row>
    <row r="272" spans="1:3" x14ac:dyDescent="0.45">
      <c r="A272">
        <v>245</v>
      </c>
      <c r="B272">
        <v>256.37952282936806</v>
      </c>
      <c r="C272">
        <v>-44.879522829368057</v>
      </c>
    </row>
    <row r="273" spans="1:3" x14ac:dyDescent="0.45">
      <c r="A273">
        <v>246</v>
      </c>
      <c r="B273">
        <v>39.324634659783968</v>
      </c>
      <c r="C273">
        <v>2.075365340216031</v>
      </c>
    </row>
    <row r="274" spans="1:3" x14ac:dyDescent="0.45">
      <c r="A274">
        <v>247</v>
      </c>
      <c r="B274">
        <v>177.95500720368398</v>
      </c>
      <c r="C274">
        <v>-35.555007203683971</v>
      </c>
    </row>
    <row r="275" spans="1:3" x14ac:dyDescent="0.45">
      <c r="A275">
        <v>248</v>
      </c>
      <c r="B275">
        <v>27.730143885688808</v>
      </c>
      <c r="C275">
        <v>-3.2301438856888076</v>
      </c>
    </row>
    <row r="276" spans="1:3" x14ac:dyDescent="0.45">
      <c r="A276">
        <v>249</v>
      </c>
      <c r="B276">
        <v>10.261676899245415</v>
      </c>
      <c r="C276">
        <v>-1.9616768992454148</v>
      </c>
    </row>
    <row r="277" spans="1:3" x14ac:dyDescent="0.45">
      <c r="A277">
        <v>250</v>
      </c>
      <c r="B277">
        <v>26.486933111912826</v>
      </c>
      <c r="C277">
        <v>-15.186933111912825</v>
      </c>
    </row>
    <row r="278" spans="1:3" x14ac:dyDescent="0.45">
      <c r="A278">
        <v>251</v>
      </c>
      <c r="B278">
        <v>45.30501864561829</v>
      </c>
      <c r="C278">
        <v>-4.1050186456182871</v>
      </c>
    </row>
    <row r="279" spans="1:3" x14ac:dyDescent="0.45">
      <c r="A279">
        <v>252</v>
      </c>
      <c r="B279">
        <v>91.392549193233606</v>
      </c>
      <c r="C279">
        <v>-46.492549193233607</v>
      </c>
    </row>
    <row r="280" spans="1:3" x14ac:dyDescent="0.45">
      <c r="A280">
        <v>253</v>
      </c>
      <c r="B280">
        <v>13.97083512466364</v>
      </c>
      <c r="C280">
        <v>-0.37083512466364077</v>
      </c>
    </row>
    <row r="281" spans="1:3" x14ac:dyDescent="0.45">
      <c r="A281">
        <v>254</v>
      </c>
      <c r="B281">
        <v>34.49006045574243</v>
      </c>
      <c r="C281">
        <v>-14.090060455742432</v>
      </c>
    </row>
    <row r="282" spans="1:3" x14ac:dyDescent="0.45">
      <c r="A282">
        <v>255</v>
      </c>
      <c r="B282">
        <v>15.416726254060563</v>
      </c>
      <c r="C282">
        <v>-6.0167262540605631</v>
      </c>
    </row>
    <row r="283" spans="1:3" x14ac:dyDescent="0.45">
      <c r="A283">
        <v>256</v>
      </c>
      <c r="B283">
        <v>21.870011490257962</v>
      </c>
      <c r="C283">
        <v>-8.9700114902579617</v>
      </c>
    </row>
    <row r="284" spans="1:3" x14ac:dyDescent="0.45">
      <c r="A284">
        <v>257</v>
      </c>
      <c r="B284">
        <v>11.583889108884877</v>
      </c>
      <c r="C284">
        <v>-2.2838891088848765</v>
      </c>
    </row>
    <row r="285" spans="1:3" x14ac:dyDescent="0.45">
      <c r="A285">
        <v>258</v>
      </c>
      <c r="B285">
        <v>27.214732137222736</v>
      </c>
      <c r="C285">
        <v>-13.614732137222736</v>
      </c>
    </row>
    <row r="286" spans="1:3" x14ac:dyDescent="0.45">
      <c r="A286">
        <v>259</v>
      </c>
      <c r="B286">
        <v>244.31193527594061</v>
      </c>
      <c r="C286">
        <v>108.78806472405941</v>
      </c>
    </row>
    <row r="287" spans="1:3" x14ac:dyDescent="0.45">
      <c r="A287">
        <v>260</v>
      </c>
      <c r="B287">
        <v>44.075305725082188</v>
      </c>
      <c r="C287">
        <v>-9.2753057250821911</v>
      </c>
    </row>
    <row r="288" spans="1:3" x14ac:dyDescent="0.45">
      <c r="A288">
        <v>261</v>
      </c>
      <c r="B288">
        <v>8.1580031400538449</v>
      </c>
      <c r="C288">
        <v>378.44199685994619</v>
      </c>
    </row>
    <row r="289" spans="1:3" x14ac:dyDescent="0.45">
      <c r="A289">
        <v>262</v>
      </c>
      <c r="B289">
        <v>12.655032251858959</v>
      </c>
      <c r="C289">
        <v>-3.3550322518589581</v>
      </c>
    </row>
    <row r="290" spans="1:3" x14ac:dyDescent="0.45">
      <c r="A290">
        <v>263</v>
      </c>
      <c r="B290">
        <v>13.081519028071233</v>
      </c>
      <c r="C290">
        <v>-2.0815190280712326</v>
      </c>
    </row>
    <row r="291" spans="1:3" x14ac:dyDescent="0.45">
      <c r="A291">
        <v>264</v>
      </c>
      <c r="B291">
        <v>26.675074882202811</v>
      </c>
      <c r="C291">
        <v>-4.4750748822028115</v>
      </c>
    </row>
    <row r="292" spans="1:3" x14ac:dyDescent="0.45">
      <c r="A292">
        <v>265</v>
      </c>
      <c r="B292">
        <v>0.1475894532408013</v>
      </c>
      <c r="C292">
        <v>22.4524105467592</v>
      </c>
    </row>
    <row r="293" spans="1:3" x14ac:dyDescent="0.45">
      <c r="A293">
        <v>266</v>
      </c>
      <c r="B293">
        <v>47.811531905886795</v>
      </c>
      <c r="C293">
        <v>-8.4115319058867968</v>
      </c>
    </row>
    <row r="294" spans="1:3" x14ac:dyDescent="0.45">
      <c r="A294">
        <v>267</v>
      </c>
      <c r="B294">
        <v>5.5252300445338847</v>
      </c>
      <c r="C294">
        <v>0.67476995546611551</v>
      </c>
    </row>
    <row r="295" spans="1:3" x14ac:dyDescent="0.45">
      <c r="A295">
        <v>268</v>
      </c>
      <c r="B295">
        <v>61.621187465120528</v>
      </c>
      <c r="C295">
        <v>-23.021187465120526</v>
      </c>
    </row>
    <row r="296" spans="1:3" x14ac:dyDescent="0.45">
      <c r="A296">
        <v>269</v>
      </c>
      <c r="B296">
        <v>21.650549548056443</v>
      </c>
      <c r="C296">
        <v>-5.5505495480564413</v>
      </c>
    </row>
    <row r="297" spans="1:3" x14ac:dyDescent="0.45">
      <c r="A297">
        <v>270</v>
      </c>
      <c r="B297">
        <v>27.143073456168931</v>
      </c>
      <c r="C297">
        <v>-16.543073456168933</v>
      </c>
    </row>
    <row r="298" spans="1:3" x14ac:dyDescent="0.45">
      <c r="A298">
        <v>271</v>
      </c>
      <c r="B298">
        <v>84.355431777144091</v>
      </c>
      <c r="C298">
        <v>5.2445682228559036</v>
      </c>
    </row>
    <row r="299" spans="1:3" x14ac:dyDescent="0.45">
      <c r="A299">
        <v>272</v>
      </c>
      <c r="B299">
        <v>50.612199542258232</v>
      </c>
      <c r="C299">
        <v>-25.112199542258232</v>
      </c>
    </row>
    <row r="300" spans="1:3" x14ac:dyDescent="0.45">
      <c r="A300">
        <v>273</v>
      </c>
      <c r="B300">
        <v>21.521528433834327</v>
      </c>
      <c r="C300">
        <v>-7.6215284338343263</v>
      </c>
    </row>
    <row r="301" spans="1:3" x14ac:dyDescent="0.45">
      <c r="A301">
        <v>274</v>
      </c>
      <c r="B301">
        <v>36.002217951053822</v>
      </c>
      <c r="C301">
        <v>-19.802217951053823</v>
      </c>
    </row>
    <row r="302" spans="1:3" x14ac:dyDescent="0.45">
      <c r="A302">
        <v>275</v>
      </c>
      <c r="B302">
        <v>38.791554994397089</v>
      </c>
      <c r="C302">
        <v>-21.491554994397088</v>
      </c>
    </row>
    <row r="303" spans="1:3" x14ac:dyDescent="0.45">
      <c r="A303">
        <v>276</v>
      </c>
      <c r="B303">
        <v>42.897808082871904</v>
      </c>
      <c r="C303">
        <v>-14.897808082871904</v>
      </c>
    </row>
    <row r="304" spans="1:3" x14ac:dyDescent="0.45">
      <c r="A304">
        <v>277</v>
      </c>
      <c r="B304">
        <v>6.0362100818491129</v>
      </c>
      <c r="C304">
        <v>-3.6210081849112896E-2</v>
      </c>
    </row>
    <row r="305" spans="1:3" x14ac:dyDescent="0.45">
      <c r="A305">
        <v>278</v>
      </c>
      <c r="B305">
        <v>17.400224911654892</v>
      </c>
      <c r="C305">
        <v>-2.8002249116548921</v>
      </c>
    </row>
    <row r="306" spans="1:3" x14ac:dyDescent="0.45">
      <c r="A306">
        <v>279</v>
      </c>
      <c r="B306">
        <v>24.414929172530169</v>
      </c>
      <c r="C306">
        <v>-15.514929172530168</v>
      </c>
    </row>
    <row r="307" spans="1:3" x14ac:dyDescent="0.45">
      <c r="A307">
        <v>280</v>
      </c>
      <c r="B307">
        <v>50.616641198963698</v>
      </c>
      <c r="C307">
        <v>33.883358801036302</v>
      </c>
    </row>
    <row r="308" spans="1:3" x14ac:dyDescent="0.45">
      <c r="A308">
        <v>281</v>
      </c>
      <c r="B308">
        <v>-8.2080580748395988</v>
      </c>
      <c r="C308">
        <v>25.3080580748396</v>
      </c>
    </row>
    <row r="309" spans="1:3" x14ac:dyDescent="0.45">
      <c r="A309">
        <v>282</v>
      </c>
      <c r="B309">
        <v>15.239288257939474</v>
      </c>
      <c r="C309">
        <v>-2.7392882579394744</v>
      </c>
    </row>
    <row r="310" spans="1:3" x14ac:dyDescent="0.45">
      <c r="A310">
        <v>283</v>
      </c>
      <c r="B310">
        <v>130.77204434751823</v>
      </c>
      <c r="C310">
        <v>-32.672044347518238</v>
      </c>
    </row>
    <row r="311" spans="1:3" x14ac:dyDescent="0.45">
      <c r="A311">
        <v>284</v>
      </c>
      <c r="B311">
        <v>4.4916924709382178</v>
      </c>
      <c r="C311">
        <v>11.608307529061783</v>
      </c>
    </row>
    <row r="312" spans="1:3" x14ac:dyDescent="0.45">
      <c r="A312">
        <v>285</v>
      </c>
      <c r="B312">
        <v>89.801042346052725</v>
      </c>
      <c r="C312">
        <v>-6.9010423460527193</v>
      </c>
    </row>
    <row r="313" spans="1:3" x14ac:dyDescent="0.45">
      <c r="A313">
        <v>286</v>
      </c>
      <c r="B313">
        <v>58.656998081520832</v>
      </c>
      <c r="C313">
        <v>-15.056998081520831</v>
      </c>
    </row>
    <row r="314" spans="1:3" x14ac:dyDescent="0.45">
      <c r="A314">
        <v>287</v>
      </c>
      <c r="B314">
        <v>19.443451591862491</v>
      </c>
      <c r="C314">
        <v>8.3565484081375097</v>
      </c>
    </row>
    <row r="315" spans="1:3" x14ac:dyDescent="0.45">
      <c r="A315">
        <v>288</v>
      </c>
      <c r="B315">
        <v>8.3183785579396776</v>
      </c>
      <c r="C315">
        <v>0.18162144206032238</v>
      </c>
    </row>
    <row r="316" spans="1:3" x14ac:dyDescent="0.45">
      <c r="A316">
        <v>289</v>
      </c>
      <c r="B316">
        <v>21.147301667985499</v>
      </c>
      <c r="C316">
        <v>-13.647301667985499</v>
      </c>
    </row>
    <row r="317" spans="1:3" x14ac:dyDescent="0.45">
      <c r="A317">
        <v>290</v>
      </c>
      <c r="B317">
        <v>54.099972479803377</v>
      </c>
      <c r="C317">
        <v>-22.499972479803375</v>
      </c>
    </row>
    <row r="318" spans="1:3" x14ac:dyDescent="0.45">
      <c r="A318">
        <v>291</v>
      </c>
      <c r="B318">
        <v>51.065709049989294</v>
      </c>
      <c r="C318">
        <v>-0.16570904998929592</v>
      </c>
    </row>
    <row r="319" spans="1:3" x14ac:dyDescent="0.45">
      <c r="A319">
        <v>292</v>
      </c>
      <c r="B319">
        <v>41.592256222383163</v>
      </c>
      <c r="C319">
        <v>0.20774377761683382</v>
      </c>
    </row>
    <row r="320" spans="1:3" x14ac:dyDescent="0.45">
      <c r="A320">
        <v>293</v>
      </c>
      <c r="B320">
        <v>43.083452399628037</v>
      </c>
      <c r="C320">
        <v>-29.283452399628036</v>
      </c>
    </row>
    <row r="321" spans="1:3" x14ac:dyDescent="0.45">
      <c r="A321">
        <v>294</v>
      </c>
      <c r="B321">
        <v>16.828253414628705</v>
      </c>
      <c r="C321">
        <v>-3.4282534146287045</v>
      </c>
    </row>
    <row r="322" spans="1:3" x14ac:dyDescent="0.45">
      <c r="A322">
        <v>295</v>
      </c>
      <c r="B322">
        <v>98.801971841794412</v>
      </c>
      <c r="C322">
        <v>88.298028158205582</v>
      </c>
    </row>
    <row r="323" spans="1:3" x14ac:dyDescent="0.45">
      <c r="A323">
        <v>296</v>
      </c>
      <c r="B323">
        <v>3.7051828527577393</v>
      </c>
      <c r="C323">
        <v>2.0948171472422605</v>
      </c>
    </row>
    <row r="324" spans="1:3" x14ac:dyDescent="0.45">
      <c r="A324">
        <v>297</v>
      </c>
      <c r="B324">
        <v>21.996474802328912</v>
      </c>
      <c r="C324">
        <v>-8.4964748023289118</v>
      </c>
    </row>
    <row r="325" spans="1:3" x14ac:dyDescent="0.45">
      <c r="A325">
        <v>298</v>
      </c>
      <c r="B325">
        <v>122.89398242522603</v>
      </c>
      <c r="C325">
        <v>9.2060175747739663</v>
      </c>
    </row>
    <row r="326" spans="1:3" x14ac:dyDescent="0.45">
      <c r="A326">
        <v>299</v>
      </c>
      <c r="B326">
        <v>45.896678316530469</v>
      </c>
      <c r="C326">
        <v>-14.396678316530469</v>
      </c>
    </row>
    <row r="327" spans="1:3" x14ac:dyDescent="0.45">
      <c r="A327">
        <v>300</v>
      </c>
      <c r="B327">
        <v>98.886770677924133</v>
      </c>
      <c r="C327">
        <v>11.213229322075861</v>
      </c>
    </row>
    <row r="328" spans="1:3" x14ac:dyDescent="0.45">
      <c r="A328">
        <v>301</v>
      </c>
      <c r="B328">
        <v>91.705328098801019</v>
      </c>
      <c r="C328">
        <v>60.49467190119897</v>
      </c>
    </row>
    <row r="329" spans="1:3" x14ac:dyDescent="0.45">
      <c r="A329">
        <v>302</v>
      </c>
      <c r="B329">
        <v>6.3098206817081222</v>
      </c>
      <c r="C329">
        <v>42.390179318291878</v>
      </c>
    </row>
    <row r="330" spans="1:3" x14ac:dyDescent="0.45">
      <c r="A330">
        <v>303</v>
      </c>
      <c r="B330">
        <v>115.46676055217183</v>
      </c>
      <c r="C330">
        <v>-99.066760552171843</v>
      </c>
    </row>
    <row r="331" spans="1:3" x14ac:dyDescent="0.45">
      <c r="A331">
        <v>304</v>
      </c>
      <c r="B331">
        <v>29.522760405883506</v>
      </c>
      <c r="C331">
        <v>-9.9227604058835048</v>
      </c>
    </row>
    <row r="332" spans="1:3" x14ac:dyDescent="0.45">
      <c r="A332">
        <v>305</v>
      </c>
      <c r="B332">
        <v>8.9476301028764134</v>
      </c>
      <c r="C332">
        <v>1.1523698971235863</v>
      </c>
    </row>
    <row r="333" spans="1:3" x14ac:dyDescent="0.45">
      <c r="A333">
        <v>306</v>
      </c>
      <c r="B333">
        <v>26.251039640860473</v>
      </c>
      <c r="C333">
        <v>-6.8510396408604741</v>
      </c>
    </row>
    <row r="334" spans="1:3" x14ac:dyDescent="0.45">
      <c r="A334">
        <v>307</v>
      </c>
      <c r="B334">
        <v>116.80249832879737</v>
      </c>
      <c r="C334">
        <v>-68.202498328797361</v>
      </c>
    </row>
    <row r="335" spans="1:3" x14ac:dyDescent="0.45">
      <c r="A335">
        <v>308</v>
      </c>
      <c r="B335">
        <v>409.90231536474624</v>
      </c>
      <c r="C335">
        <v>280.09768463525376</v>
      </c>
    </row>
    <row r="336" spans="1:3" x14ac:dyDescent="0.45">
      <c r="A336">
        <v>309</v>
      </c>
      <c r="B336">
        <v>20.019202709204801</v>
      </c>
      <c r="C336">
        <v>-10.019202709204801</v>
      </c>
    </row>
    <row r="337" spans="1:3" x14ac:dyDescent="0.45">
      <c r="A337">
        <v>310</v>
      </c>
      <c r="B337">
        <v>45.991664987456659</v>
      </c>
      <c r="C337">
        <v>-26.09166498745666</v>
      </c>
    </row>
    <row r="338" spans="1:3" x14ac:dyDescent="0.45">
      <c r="A338">
        <v>311</v>
      </c>
      <c r="B338">
        <v>38.448449870798328</v>
      </c>
      <c r="C338">
        <v>-26.048449870798329</v>
      </c>
    </row>
    <row r="339" spans="1:3" x14ac:dyDescent="0.45">
      <c r="A339">
        <v>312</v>
      </c>
      <c r="B339">
        <v>46.81471462535243</v>
      </c>
      <c r="C339">
        <v>18.985285374647567</v>
      </c>
    </row>
    <row r="340" spans="1:3" x14ac:dyDescent="0.45">
      <c r="A340">
        <v>313</v>
      </c>
      <c r="B340">
        <v>55.339932713945501</v>
      </c>
      <c r="C340">
        <v>-2.2399327139454996</v>
      </c>
    </row>
    <row r="341" spans="1:3" x14ac:dyDescent="0.45">
      <c r="A341">
        <v>314</v>
      </c>
      <c r="B341">
        <v>25.40564784039185</v>
      </c>
      <c r="C341">
        <v>10.994352159608148</v>
      </c>
    </row>
    <row r="342" spans="1:3" x14ac:dyDescent="0.45">
      <c r="A342">
        <v>315</v>
      </c>
      <c r="B342">
        <v>44.361512620709192</v>
      </c>
      <c r="C342">
        <v>-14.161512620709193</v>
      </c>
    </row>
    <row r="343" spans="1:3" x14ac:dyDescent="0.45">
      <c r="A343">
        <v>316</v>
      </c>
      <c r="B343">
        <v>2.6920650657662906</v>
      </c>
      <c r="C343">
        <v>94.807934934233714</v>
      </c>
    </row>
    <row r="344" spans="1:3" x14ac:dyDescent="0.45">
      <c r="A344">
        <v>317</v>
      </c>
      <c r="B344">
        <v>40.55962690729865</v>
      </c>
      <c r="C344">
        <v>-23.959626907298649</v>
      </c>
    </row>
    <row r="345" spans="1:3" x14ac:dyDescent="0.45">
      <c r="A345">
        <v>318</v>
      </c>
      <c r="B345">
        <v>34.300242097898071</v>
      </c>
      <c r="C345">
        <v>-12.600242097898072</v>
      </c>
    </row>
    <row r="346" spans="1:3" x14ac:dyDescent="0.45">
      <c r="A346">
        <v>319</v>
      </c>
      <c r="B346">
        <v>17.278396804574882</v>
      </c>
      <c r="C346">
        <v>-4.4783968045748814</v>
      </c>
    </row>
    <row r="347" spans="1:3" x14ac:dyDescent="0.45">
      <c r="A347">
        <v>320</v>
      </c>
      <c r="B347">
        <v>13.1450726076578</v>
      </c>
      <c r="C347">
        <v>-0.24507260765780003</v>
      </c>
    </row>
    <row r="348" spans="1:3" x14ac:dyDescent="0.45">
      <c r="A348">
        <v>321</v>
      </c>
      <c r="B348">
        <v>-2.1618425342314773</v>
      </c>
      <c r="C348">
        <v>5.8618425342314779</v>
      </c>
    </row>
    <row r="349" spans="1:3" x14ac:dyDescent="0.45">
      <c r="A349">
        <v>322</v>
      </c>
      <c r="B349">
        <v>19.175189303451006</v>
      </c>
      <c r="C349">
        <v>-3.7751893034510058</v>
      </c>
    </row>
    <row r="350" spans="1:3" x14ac:dyDescent="0.45">
      <c r="A350">
        <v>323</v>
      </c>
      <c r="B350">
        <v>88.258781554747529</v>
      </c>
      <c r="C350">
        <v>26.541218445252468</v>
      </c>
    </row>
    <row r="351" spans="1:3" x14ac:dyDescent="0.45">
      <c r="A351">
        <v>324</v>
      </c>
      <c r="B351">
        <v>20.541741970940123</v>
      </c>
      <c r="C351">
        <v>-6.1417419709401226</v>
      </c>
    </row>
    <row r="352" spans="1:3" x14ac:dyDescent="0.45">
      <c r="A352">
        <v>325</v>
      </c>
      <c r="B352">
        <v>29.359834150374049</v>
      </c>
      <c r="C352">
        <v>-23.659834150374049</v>
      </c>
    </row>
    <row r="353" spans="1:3" x14ac:dyDescent="0.45">
      <c r="A353">
        <v>326</v>
      </c>
      <c r="B353">
        <v>26.022613192309976</v>
      </c>
      <c r="C353">
        <v>-6.3226131923099764</v>
      </c>
    </row>
    <row r="354" spans="1:3" x14ac:dyDescent="0.45">
      <c r="A354">
        <v>327</v>
      </c>
      <c r="B354">
        <v>15.91500116212648</v>
      </c>
      <c r="C354">
        <v>-6.5150011621264792</v>
      </c>
    </row>
    <row r="355" spans="1:3" x14ac:dyDescent="0.45">
      <c r="A355">
        <v>328</v>
      </c>
      <c r="B355">
        <v>16.040594382889239</v>
      </c>
      <c r="C355">
        <v>-6.540594382889239</v>
      </c>
    </row>
    <row r="356" spans="1:3" x14ac:dyDescent="0.45">
      <c r="A356">
        <v>329</v>
      </c>
      <c r="B356">
        <v>92.133968310703935</v>
      </c>
      <c r="C356">
        <v>-22.433968310703932</v>
      </c>
    </row>
    <row r="357" spans="1:3" x14ac:dyDescent="0.45">
      <c r="A357">
        <v>330</v>
      </c>
      <c r="B357">
        <v>20.735919085053236</v>
      </c>
      <c r="C357">
        <v>-7.3359190850532361</v>
      </c>
    </row>
    <row r="358" spans="1:3" x14ac:dyDescent="0.45">
      <c r="A358">
        <v>331</v>
      </c>
      <c r="B358">
        <v>58.469049797344965</v>
      </c>
      <c r="C358">
        <v>48.330950202655032</v>
      </c>
    </row>
    <row r="359" spans="1:3" x14ac:dyDescent="0.45">
      <c r="A359">
        <v>332</v>
      </c>
      <c r="B359">
        <v>15.198317163958496</v>
      </c>
      <c r="C359">
        <v>-7.3983171639584961</v>
      </c>
    </row>
    <row r="360" spans="1:3" x14ac:dyDescent="0.45">
      <c r="A360">
        <v>333</v>
      </c>
      <c r="B360">
        <v>17.956610529517256</v>
      </c>
      <c r="C360">
        <v>-4.7566105295172569</v>
      </c>
    </row>
    <row r="361" spans="1:3" x14ac:dyDescent="0.45">
      <c r="A361">
        <v>334</v>
      </c>
      <c r="B361">
        <v>17.950232791746611</v>
      </c>
      <c r="C361">
        <v>-9.7502327917466118</v>
      </c>
    </row>
    <row r="362" spans="1:3" x14ac:dyDescent="0.45">
      <c r="A362">
        <v>335</v>
      </c>
      <c r="B362">
        <v>29.900866189105663</v>
      </c>
      <c r="C362">
        <v>10.599133810894337</v>
      </c>
    </row>
    <row r="363" spans="1:3" x14ac:dyDescent="0.45">
      <c r="A363">
        <v>336</v>
      </c>
      <c r="B363">
        <v>9.4788772466245188</v>
      </c>
      <c r="C363">
        <v>13.42112275337548</v>
      </c>
    </row>
    <row r="364" spans="1:3" x14ac:dyDescent="0.45">
      <c r="A364">
        <v>337</v>
      </c>
      <c r="B364">
        <v>85.688727145851232</v>
      </c>
      <c r="C364">
        <v>-26.888727145851234</v>
      </c>
    </row>
    <row r="365" spans="1:3" x14ac:dyDescent="0.45">
      <c r="A365">
        <v>338</v>
      </c>
      <c r="B365">
        <v>19.140094190621291</v>
      </c>
      <c r="C365">
        <v>-5.9400941906212914</v>
      </c>
    </row>
    <row r="366" spans="1:3" x14ac:dyDescent="0.45">
      <c r="A366">
        <v>339</v>
      </c>
      <c r="B366">
        <v>27.370307848806132</v>
      </c>
      <c r="C366">
        <v>-19.370307848806132</v>
      </c>
    </row>
    <row r="367" spans="1:3" x14ac:dyDescent="0.45">
      <c r="A367">
        <v>340</v>
      </c>
      <c r="B367">
        <v>27.72024913456066</v>
      </c>
      <c r="C367">
        <v>-7.7202491345606603</v>
      </c>
    </row>
    <row r="368" spans="1:3" x14ac:dyDescent="0.45">
      <c r="A368">
        <v>341</v>
      </c>
      <c r="B368">
        <v>82.986224776005002</v>
      </c>
      <c r="C368">
        <v>55.713775223994986</v>
      </c>
    </row>
    <row r="369" spans="1:3" x14ac:dyDescent="0.45">
      <c r="A369">
        <v>342</v>
      </c>
      <c r="B369">
        <v>51.693819552365568</v>
      </c>
      <c r="C369">
        <v>-30.293819552365569</v>
      </c>
    </row>
    <row r="370" spans="1:3" x14ac:dyDescent="0.45">
      <c r="A370">
        <v>343</v>
      </c>
      <c r="B370">
        <v>27.513331186238872</v>
      </c>
      <c r="C370">
        <v>-10.113331186238874</v>
      </c>
    </row>
    <row r="371" spans="1:3" x14ac:dyDescent="0.45">
      <c r="A371">
        <v>344</v>
      </c>
      <c r="B371">
        <v>28.039887125310681</v>
      </c>
      <c r="C371">
        <v>-6.0398871253106812</v>
      </c>
    </row>
    <row r="372" spans="1:3" x14ac:dyDescent="0.45">
      <c r="A372">
        <v>345</v>
      </c>
      <c r="B372">
        <v>163.91988644762938</v>
      </c>
      <c r="C372">
        <v>38.380113552370631</v>
      </c>
    </row>
    <row r="373" spans="1:3" x14ac:dyDescent="0.45">
      <c r="A373">
        <v>346</v>
      </c>
      <c r="B373">
        <v>37.146119160875564</v>
      </c>
      <c r="C373">
        <v>-12.946119160875565</v>
      </c>
    </row>
    <row r="374" spans="1:3" x14ac:dyDescent="0.45">
      <c r="A374">
        <v>347</v>
      </c>
      <c r="B374">
        <v>19.226315183908177</v>
      </c>
      <c r="C374">
        <v>-8.1263151839081775</v>
      </c>
    </row>
    <row r="375" spans="1:3" x14ac:dyDescent="0.45">
      <c r="A375">
        <v>348</v>
      </c>
      <c r="B375">
        <v>42.86121768956076</v>
      </c>
      <c r="C375">
        <v>-18.461217689560762</v>
      </c>
    </row>
    <row r="376" spans="1:3" x14ac:dyDescent="0.45">
      <c r="A376">
        <v>349</v>
      </c>
      <c r="B376">
        <v>5.2972059884033742</v>
      </c>
      <c r="C376">
        <v>-2.097205988403374</v>
      </c>
    </row>
    <row r="377" spans="1:3" x14ac:dyDescent="0.45">
      <c r="A377">
        <v>350</v>
      </c>
      <c r="B377">
        <v>22.569196024074223</v>
      </c>
      <c r="C377">
        <v>0.73080397592577739</v>
      </c>
    </row>
    <row r="378" spans="1:3" x14ac:dyDescent="0.45">
      <c r="A378">
        <v>351</v>
      </c>
      <c r="B378">
        <v>44.625645184515783</v>
      </c>
      <c r="C378">
        <v>46.07435481548422</v>
      </c>
    </row>
    <row r="379" spans="1:3" x14ac:dyDescent="0.45">
      <c r="A379">
        <v>352</v>
      </c>
      <c r="B379">
        <v>14.232960007419152</v>
      </c>
      <c r="C379">
        <v>-1.7329600074191518</v>
      </c>
    </row>
    <row r="380" spans="1:3" x14ac:dyDescent="0.45">
      <c r="A380">
        <v>353</v>
      </c>
      <c r="B380">
        <v>0.6298870787262878</v>
      </c>
      <c r="C380">
        <v>5.8701129212737122</v>
      </c>
    </row>
    <row r="381" spans="1:3" x14ac:dyDescent="0.45">
      <c r="A381">
        <v>354</v>
      </c>
      <c r="B381">
        <v>13.987820848640853</v>
      </c>
      <c r="C381">
        <v>-5.5878208486408525</v>
      </c>
    </row>
    <row r="382" spans="1:3" x14ac:dyDescent="0.45">
      <c r="A382">
        <v>355</v>
      </c>
      <c r="B382">
        <v>196.25063695770544</v>
      </c>
      <c r="C382">
        <v>12.249363042294561</v>
      </c>
    </row>
    <row r="383" spans="1:3" x14ac:dyDescent="0.45">
      <c r="A383">
        <v>356</v>
      </c>
      <c r="B383">
        <v>62.320887122962027</v>
      </c>
      <c r="C383">
        <v>-42.020887122962023</v>
      </c>
    </row>
    <row r="384" spans="1:3" x14ac:dyDescent="0.45">
      <c r="A384">
        <v>357</v>
      </c>
      <c r="B384">
        <v>126.01007371865009</v>
      </c>
      <c r="C384">
        <v>27.589926281349904</v>
      </c>
    </row>
    <row r="385" spans="1:3" x14ac:dyDescent="0.45">
      <c r="A385">
        <v>358</v>
      </c>
      <c r="B385">
        <v>47.346405064835352</v>
      </c>
      <c r="C385">
        <v>0.65359493516464795</v>
      </c>
    </row>
    <row r="386" spans="1:3" x14ac:dyDescent="0.45">
      <c r="A386">
        <v>359</v>
      </c>
      <c r="B386">
        <v>21.632194714428717</v>
      </c>
      <c r="C386">
        <v>-13.232194714428717</v>
      </c>
    </row>
    <row r="387" spans="1:3" x14ac:dyDescent="0.45">
      <c r="A387">
        <v>360</v>
      </c>
      <c r="B387">
        <v>77.966219029792128</v>
      </c>
      <c r="C387">
        <v>-47.966219029792128</v>
      </c>
    </row>
    <row r="388" spans="1:3" x14ac:dyDescent="0.45">
      <c r="A388">
        <v>361</v>
      </c>
      <c r="B388">
        <v>8.0224446723189615</v>
      </c>
      <c r="C388">
        <v>65.277555327681029</v>
      </c>
    </row>
    <row r="389" spans="1:3" x14ac:dyDescent="0.45">
      <c r="A389">
        <v>362</v>
      </c>
      <c r="B389">
        <v>30.638732881847766</v>
      </c>
      <c r="C389">
        <v>-21.838732881847765</v>
      </c>
    </row>
    <row r="390" spans="1:3" x14ac:dyDescent="0.45">
      <c r="A390">
        <v>363</v>
      </c>
      <c r="B390">
        <v>34.307214365987733</v>
      </c>
      <c r="C390">
        <v>-5.3072143659877327</v>
      </c>
    </row>
    <row r="391" spans="1:3" x14ac:dyDescent="0.45">
      <c r="A391">
        <v>364</v>
      </c>
      <c r="B391">
        <v>35.642276728902168</v>
      </c>
      <c r="C391">
        <v>-14.842276728902167</v>
      </c>
    </row>
    <row r="392" spans="1:3" x14ac:dyDescent="0.45">
      <c r="A392">
        <v>365</v>
      </c>
      <c r="B392">
        <v>57.88020497925578</v>
      </c>
      <c r="C392">
        <v>-14.980204979255781</v>
      </c>
    </row>
    <row r="393" spans="1:3" x14ac:dyDescent="0.45">
      <c r="A393">
        <v>366</v>
      </c>
      <c r="B393">
        <v>369.65349682756437</v>
      </c>
      <c r="C393">
        <v>-277.85349682756436</v>
      </c>
    </row>
    <row r="394" spans="1:3" x14ac:dyDescent="0.45">
      <c r="A394">
        <v>367</v>
      </c>
      <c r="B394">
        <v>0.87163577940354608</v>
      </c>
      <c r="C394">
        <v>17.628364220596453</v>
      </c>
    </row>
    <row r="395" spans="1:3" x14ac:dyDescent="0.45">
      <c r="A395">
        <v>368</v>
      </c>
      <c r="B395">
        <v>170.31323810866323</v>
      </c>
      <c r="C395">
        <v>35.986761891336783</v>
      </c>
    </row>
    <row r="396" spans="1:3" x14ac:dyDescent="0.45">
      <c r="A396">
        <v>369</v>
      </c>
      <c r="B396">
        <v>4.3356730068800218</v>
      </c>
      <c r="C396">
        <v>26.76432699311998</v>
      </c>
    </row>
    <row r="397" spans="1:3" x14ac:dyDescent="0.45">
      <c r="A397">
        <v>370</v>
      </c>
      <c r="B397">
        <v>34.24239759301652</v>
      </c>
      <c r="C397">
        <v>-2.2423975930165199</v>
      </c>
    </row>
    <row r="398" spans="1:3" x14ac:dyDescent="0.45">
      <c r="A398">
        <v>371</v>
      </c>
      <c r="B398">
        <v>-2.3243270278835308</v>
      </c>
      <c r="C398">
        <v>49.424327027883535</v>
      </c>
    </row>
    <row r="399" spans="1:3" x14ac:dyDescent="0.45">
      <c r="A399">
        <v>372</v>
      </c>
      <c r="B399">
        <v>39.931036785704741</v>
      </c>
      <c r="C399">
        <v>-15.83103678570474</v>
      </c>
    </row>
    <row r="400" spans="1:3" x14ac:dyDescent="0.45">
      <c r="A400">
        <v>373</v>
      </c>
      <c r="B400">
        <v>42.969186924253407</v>
      </c>
      <c r="C400">
        <v>-10.66918692425341</v>
      </c>
    </row>
    <row r="401" spans="1:3" x14ac:dyDescent="0.45">
      <c r="A401">
        <v>374</v>
      </c>
      <c r="B401">
        <v>10.810213259109959</v>
      </c>
      <c r="C401">
        <v>-2.0102132591099586</v>
      </c>
    </row>
    <row r="402" spans="1:3" x14ac:dyDescent="0.45">
      <c r="A402">
        <v>375</v>
      </c>
      <c r="B402">
        <v>26.690270130567932</v>
      </c>
      <c r="C402">
        <v>-15.190270130567932</v>
      </c>
    </row>
    <row r="403" spans="1:3" x14ac:dyDescent="0.45">
      <c r="A403">
        <v>376</v>
      </c>
      <c r="B403">
        <v>25.29527601441572</v>
      </c>
      <c r="C403">
        <v>-15.395276014415719</v>
      </c>
    </row>
    <row r="404" spans="1:3" x14ac:dyDescent="0.45">
      <c r="A404">
        <v>377</v>
      </c>
      <c r="B404">
        <v>49.787100705675677</v>
      </c>
      <c r="C404">
        <v>46.51289929432432</v>
      </c>
    </row>
    <row r="405" spans="1:3" x14ac:dyDescent="0.45">
      <c r="A405">
        <v>378</v>
      </c>
      <c r="B405">
        <v>9.1527658078365466</v>
      </c>
      <c r="C405">
        <v>-3.8527658078365468</v>
      </c>
    </row>
    <row r="406" spans="1:3" x14ac:dyDescent="0.45">
      <c r="A406">
        <v>379</v>
      </c>
      <c r="B406">
        <v>22.169427899401416</v>
      </c>
      <c r="C406">
        <v>-8.5694278994014166</v>
      </c>
    </row>
    <row r="407" spans="1:3" x14ac:dyDescent="0.45">
      <c r="A407">
        <v>380</v>
      </c>
      <c r="B407">
        <v>18.92229893104842</v>
      </c>
      <c r="C407">
        <v>-15.622298931048419</v>
      </c>
    </row>
    <row r="408" spans="1:3" x14ac:dyDescent="0.45">
      <c r="A408">
        <v>381</v>
      </c>
      <c r="B408">
        <v>8.6553130527039492</v>
      </c>
      <c r="C408">
        <v>4.5446869472960501</v>
      </c>
    </row>
    <row r="409" spans="1:3" x14ac:dyDescent="0.45">
      <c r="A409">
        <v>382</v>
      </c>
      <c r="B409">
        <v>67.363527083036516</v>
      </c>
      <c r="C409">
        <v>-8.2635270830365144</v>
      </c>
    </row>
    <row r="410" spans="1:3" x14ac:dyDescent="0.45">
      <c r="A410">
        <v>383</v>
      </c>
      <c r="B410">
        <v>17.468104636539373</v>
      </c>
      <c r="C410">
        <v>-3.6681046365393719</v>
      </c>
    </row>
    <row r="411" spans="1:3" x14ac:dyDescent="0.45">
      <c r="A411">
        <v>384</v>
      </c>
      <c r="B411">
        <v>37.610389420301225</v>
      </c>
      <c r="C411">
        <v>-14.810389420301224</v>
      </c>
    </row>
    <row r="412" spans="1:3" x14ac:dyDescent="0.45">
      <c r="A412">
        <v>385</v>
      </c>
      <c r="B412">
        <v>12.763013914946733</v>
      </c>
      <c r="C412">
        <v>-2.8630139149467322</v>
      </c>
    </row>
    <row r="413" spans="1:3" x14ac:dyDescent="0.45">
      <c r="A413">
        <v>386</v>
      </c>
      <c r="B413">
        <v>76.885650007160365</v>
      </c>
      <c r="C413">
        <v>-40.885650007160365</v>
      </c>
    </row>
    <row r="414" spans="1:3" x14ac:dyDescent="0.45">
      <c r="A414">
        <v>387</v>
      </c>
      <c r="B414">
        <v>0.37991404593854394</v>
      </c>
      <c r="C414">
        <v>21.120085954061455</v>
      </c>
    </row>
    <row r="415" spans="1:3" x14ac:dyDescent="0.45">
      <c r="A415">
        <v>388</v>
      </c>
      <c r="B415">
        <v>36.390437488325524</v>
      </c>
      <c r="C415">
        <v>-14.790437488325523</v>
      </c>
    </row>
    <row r="416" spans="1:3" x14ac:dyDescent="0.45">
      <c r="A416">
        <v>389</v>
      </c>
      <c r="B416">
        <v>21.562854080685263</v>
      </c>
      <c r="C416">
        <v>-8.3628540806852634</v>
      </c>
    </row>
    <row r="417" spans="1:3" x14ac:dyDescent="0.45">
      <c r="A417">
        <v>390</v>
      </c>
      <c r="B417">
        <v>11.374463389263848</v>
      </c>
      <c r="C417">
        <v>-4.3744633892638483</v>
      </c>
    </row>
    <row r="418" spans="1:3" x14ac:dyDescent="0.45">
      <c r="A418">
        <v>391</v>
      </c>
      <c r="B418">
        <v>39.057427747003985</v>
      </c>
      <c r="C418">
        <v>-14.957427747003983</v>
      </c>
    </row>
    <row r="419" spans="1:3" x14ac:dyDescent="0.45">
      <c r="A419">
        <v>392</v>
      </c>
      <c r="B419">
        <v>35.404536824049273</v>
      </c>
      <c r="C419">
        <v>-13.204536824049274</v>
      </c>
    </row>
    <row r="420" spans="1:3" x14ac:dyDescent="0.45">
      <c r="A420">
        <v>393</v>
      </c>
      <c r="B420">
        <v>53.732990282555257</v>
      </c>
      <c r="C420">
        <v>-26.532990282555257</v>
      </c>
    </row>
    <row r="421" spans="1:3" x14ac:dyDescent="0.45">
      <c r="A421">
        <v>394</v>
      </c>
      <c r="B421">
        <v>31.883904275480681</v>
      </c>
      <c r="C421">
        <v>-2.0839042754806805</v>
      </c>
    </row>
    <row r="422" spans="1:3" x14ac:dyDescent="0.45">
      <c r="A422">
        <v>395</v>
      </c>
      <c r="B422">
        <v>36.688976223256837</v>
      </c>
      <c r="C422">
        <v>-9.2889762232568387</v>
      </c>
    </row>
    <row r="423" spans="1:3" x14ac:dyDescent="0.45">
      <c r="A423">
        <v>396</v>
      </c>
      <c r="B423">
        <v>50.288631382631664</v>
      </c>
      <c r="C423">
        <v>-3.6886313826316623</v>
      </c>
    </row>
    <row r="424" spans="1:3" x14ac:dyDescent="0.45">
      <c r="A424">
        <v>397</v>
      </c>
      <c r="B424">
        <v>101.29474531974202</v>
      </c>
      <c r="C424">
        <v>-21.79474531974202</v>
      </c>
    </row>
    <row r="425" spans="1:3" x14ac:dyDescent="0.45">
      <c r="A425">
        <v>398</v>
      </c>
      <c r="B425">
        <v>71.156683109983888</v>
      </c>
      <c r="C425">
        <v>-51.556683109983886</v>
      </c>
    </row>
    <row r="426" spans="1:3" x14ac:dyDescent="0.45">
      <c r="A426">
        <v>399</v>
      </c>
      <c r="B426">
        <v>9.8675692638170815</v>
      </c>
      <c r="C426">
        <v>-4.6675692638170814</v>
      </c>
    </row>
    <row r="427" spans="1:3" x14ac:dyDescent="0.45">
      <c r="A427">
        <v>400</v>
      </c>
      <c r="B427">
        <v>52.1437586676644</v>
      </c>
      <c r="C427">
        <v>44.3562413323356</v>
      </c>
    </row>
    <row r="428" spans="1:3" x14ac:dyDescent="0.45">
      <c r="A428">
        <v>401</v>
      </c>
      <c r="B428">
        <v>19.487864155622365</v>
      </c>
      <c r="C428">
        <v>-8.1878641556223641</v>
      </c>
    </row>
    <row r="429" spans="1:3" x14ac:dyDescent="0.45">
      <c r="A429">
        <v>402</v>
      </c>
      <c r="B429">
        <v>19.964653655151416</v>
      </c>
      <c r="C429">
        <v>-5.8646536551514163</v>
      </c>
    </row>
    <row r="430" spans="1:3" x14ac:dyDescent="0.45">
      <c r="A430">
        <v>403</v>
      </c>
      <c r="B430">
        <v>12.743449707179577</v>
      </c>
      <c r="C430">
        <v>-4.7434497071795771</v>
      </c>
    </row>
    <row r="431" spans="1:3" x14ac:dyDescent="0.45">
      <c r="A431">
        <v>404</v>
      </c>
      <c r="B431">
        <v>46.478013912378152</v>
      </c>
      <c r="C431">
        <v>-20.278013912378153</v>
      </c>
    </row>
    <row r="432" spans="1:3" x14ac:dyDescent="0.45">
      <c r="A432">
        <v>405</v>
      </c>
      <c r="B432">
        <v>66.768625090919144</v>
      </c>
      <c r="C432">
        <v>-29.068625090919141</v>
      </c>
    </row>
    <row r="433" spans="1:3" x14ac:dyDescent="0.45">
      <c r="A433">
        <v>406</v>
      </c>
      <c r="B433">
        <v>-0.17335237200188991</v>
      </c>
      <c r="C433">
        <v>3.1733523720018901</v>
      </c>
    </row>
    <row r="434" spans="1:3" x14ac:dyDescent="0.45">
      <c r="A434">
        <v>407</v>
      </c>
      <c r="B434">
        <v>61.145244431674357</v>
      </c>
      <c r="C434">
        <v>-13.045244431674355</v>
      </c>
    </row>
    <row r="435" spans="1:3" x14ac:dyDescent="0.45">
      <c r="A435">
        <v>408</v>
      </c>
      <c r="B435">
        <v>19.068637119482233</v>
      </c>
      <c r="C435">
        <v>-0.56863711948223283</v>
      </c>
    </row>
    <row r="436" spans="1:3" x14ac:dyDescent="0.45">
      <c r="A436">
        <v>409</v>
      </c>
      <c r="B436">
        <v>25.250156140847231</v>
      </c>
      <c r="C436">
        <v>-16.65015614084723</v>
      </c>
    </row>
    <row r="437" spans="1:3" x14ac:dyDescent="0.45">
      <c r="A437">
        <v>410</v>
      </c>
      <c r="B437">
        <v>22.228803411892475</v>
      </c>
      <c r="C437">
        <v>-12.728803411892475</v>
      </c>
    </row>
    <row r="438" spans="1:3" x14ac:dyDescent="0.45">
      <c r="A438">
        <v>411</v>
      </c>
      <c r="B438">
        <v>60.326631933446109</v>
      </c>
      <c r="C438">
        <v>-16.826631933446109</v>
      </c>
    </row>
    <row r="439" spans="1:3" x14ac:dyDescent="0.45">
      <c r="A439">
        <v>412</v>
      </c>
      <c r="B439">
        <v>40.461732767241799</v>
      </c>
      <c r="C439">
        <v>-6.0617327672418</v>
      </c>
    </row>
    <row r="440" spans="1:3" x14ac:dyDescent="0.45">
      <c r="A440">
        <v>413</v>
      </c>
      <c r="B440">
        <v>37.438059590978014</v>
      </c>
      <c r="C440">
        <v>-12.938059590978014</v>
      </c>
    </row>
    <row r="441" spans="1:3" x14ac:dyDescent="0.45">
      <c r="A441">
        <v>414</v>
      </c>
      <c r="B441">
        <v>79.169110780962924</v>
      </c>
      <c r="C441">
        <v>-2.6691107809629244</v>
      </c>
    </row>
    <row r="442" spans="1:3" x14ac:dyDescent="0.45">
      <c r="A442">
        <v>415</v>
      </c>
      <c r="B442">
        <v>8.6151236368815169</v>
      </c>
      <c r="C442">
        <v>29.484876363118484</v>
      </c>
    </row>
    <row r="443" spans="1:3" x14ac:dyDescent="0.45">
      <c r="A443">
        <v>416</v>
      </c>
      <c r="B443">
        <v>12.902656012383282</v>
      </c>
      <c r="C443">
        <v>-6.7026560123832821</v>
      </c>
    </row>
    <row r="444" spans="1:3" x14ac:dyDescent="0.45">
      <c r="A444">
        <v>417</v>
      </c>
      <c r="B444">
        <v>56.027307595940016</v>
      </c>
      <c r="C444">
        <v>1.472692404059984</v>
      </c>
    </row>
    <row r="445" spans="1:3" x14ac:dyDescent="0.45">
      <c r="A445">
        <v>418</v>
      </c>
      <c r="B445">
        <v>2.8127421878360881</v>
      </c>
      <c r="C445">
        <v>29.687257812163914</v>
      </c>
    </row>
    <row r="446" spans="1:3" x14ac:dyDescent="0.45">
      <c r="A446">
        <v>419</v>
      </c>
      <c r="B446">
        <v>19.753556249342488</v>
      </c>
      <c r="C446">
        <v>-3.2535562493424877</v>
      </c>
    </row>
    <row r="447" spans="1:3" x14ac:dyDescent="0.45">
      <c r="A447">
        <v>420</v>
      </c>
      <c r="B447">
        <v>0.2702577755894533</v>
      </c>
      <c r="C447">
        <v>28.629742224410546</v>
      </c>
    </row>
    <row r="448" spans="1:3" x14ac:dyDescent="0.45">
      <c r="A448">
        <v>421</v>
      </c>
      <c r="B448">
        <v>28.889648051818295</v>
      </c>
      <c r="C448">
        <v>-16.089648051818294</v>
      </c>
    </row>
    <row r="449" spans="1:3" x14ac:dyDescent="0.45">
      <c r="A449">
        <v>422</v>
      </c>
      <c r="B449">
        <v>36.705165006757888</v>
      </c>
      <c r="C449">
        <v>-6.305165006757889</v>
      </c>
    </row>
    <row r="450" spans="1:3" x14ac:dyDescent="0.45">
      <c r="A450">
        <v>423</v>
      </c>
      <c r="B450">
        <v>33.522246712565924</v>
      </c>
      <c r="C450">
        <v>-7.7222467125659229</v>
      </c>
    </row>
    <row r="451" spans="1:3" x14ac:dyDescent="0.45">
      <c r="A451">
        <v>424</v>
      </c>
      <c r="B451">
        <v>71.860138130907714</v>
      </c>
      <c r="C451">
        <v>-32.060138130907717</v>
      </c>
    </row>
    <row r="452" spans="1:3" x14ac:dyDescent="0.45">
      <c r="A452">
        <v>425</v>
      </c>
      <c r="B452">
        <v>36.824625835637008</v>
      </c>
      <c r="C452">
        <v>-1.8246258356370078</v>
      </c>
    </row>
    <row r="453" spans="1:3" x14ac:dyDescent="0.45">
      <c r="A453">
        <v>426</v>
      </c>
      <c r="B453">
        <v>10.532213539429961</v>
      </c>
      <c r="C453">
        <v>3.6677864605700385</v>
      </c>
    </row>
    <row r="454" spans="1:3" x14ac:dyDescent="0.45">
      <c r="A454">
        <v>427</v>
      </c>
      <c r="B454">
        <v>81.404263845872265</v>
      </c>
      <c r="C454">
        <v>18.895736154127732</v>
      </c>
    </row>
    <row r="455" spans="1:3" x14ac:dyDescent="0.45">
      <c r="A455">
        <v>428</v>
      </c>
      <c r="B455">
        <v>24.106726357619586</v>
      </c>
      <c r="C455">
        <v>-8.8067263576195849</v>
      </c>
    </row>
    <row r="456" spans="1:3" x14ac:dyDescent="0.45">
      <c r="A456">
        <v>429</v>
      </c>
      <c r="B456">
        <v>1.509677911253565</v>
      </c>
      <c r="C456">
        <v>54.590322088746433</v>
      </c>
    </row>
    <row r="457" spans="1:3" x14ac:dyDescent="0.45">
      <c r="A457">
        <v>430</v>
      </c>
      <c r="B457">
        <v>29.03467889224963</v>
      </c>
      <c r="C457">
        <v>-12.53467889224963</v>
      </c>
    </row>
    <row r="458" spans="1:3" x14ac:dyDescent="0.45">
      <c r="A458">
        <v>431</v>
      </c>
      <c r="B458">
        <v>39.462708353978762</v>
      </c>
      <c r="C458">
        <v>-28.162708353978761</v>
      </c>
    </row>
    <row r="459" spans="1:3" x14ac:dyDescent="0.45">
      <c r="A459">
        <v>432</v>
      </c>
      <c r="B459">
        <v>26.615503625836077</v>
      </c>
      <c r="C459">
        <v>-5.7155036258360781</v>
      </c>
    </row>
    <row r="460" spans="1:3" x14ac:dyDescent="0.45">
      <c r="A460">
        <v>433</v>
      </c>
      <c r="B460">
        <v>14.648752471676364</v>
      </c>
      <c r="C460">
        <v>-4.9487524716763645</v>
      </c>
    </row>
    <row r="461" spans="1:3" x14ac:dyDescent="0.45">
      <c r="A461">
        <v>434</v>
      </c>
      <c r="B461">
        <v>12.235767353449958</v>
      </c>
      <c r="C461">
        <v>26.66423264655004</v>
      </c>
    </row>
    <row r="462" spans="1:3" x14ac:dyDescent="0.45">
      <c r="A462">
        <v>435</v>
      </c>
      <c r="B462">
        <v>129.29347557477737</v>
      </c>
      <c r="C462">
        <v>28.506524425222636</v>
      </c>
    </row>
    <row r="463" spans="1:3" x14ac:dyDescent="0.45">
      <c r="A463">
        <v>436</v>
      </c>
      <c r="B463">
        <v>78.920261875419371</v>
      </c>
      <c r="C463">
        <v>4.2797381245806321</v>
      </c>
    </row>
    <row r="464" spans="1:3" x14ac:dyDescent="0.45">
      <c r="A464">
        <v>437</v>
      </c>
      <c r="B464">
        <v>23.43121618398391</v>
      </c>
      <c r="C464">
        <v>-10.631216183983909</v>
      </c>
    </row>
    <row r="465" spans="1:3" x14ac:dyDescent="0.45">
      <c r="A465">
        <v>438</v>
      </c>
      <c r="B465">
        <v>78.237462525026388</v>
      </c>
      <c r="C465">
        <v>-4.0374625250263847</v>
      </c>
    </row>
    <row r="466" spans="1:3" x14ac:dyDescent="0.45">
      <c r="A466">
        <v>439</v>
      </c>
      <c r="B466">
        <v>52.566056533835066</v>
      </c>
      <c r="C466">
        <v>-4.3660565338350636</v>
      </c>
    </row>
    <row r="467" spans="1:3" x14ac:dyDescent="0.45">
      <c r="A467">
        <v>440</v>
      </c>
      <c r="B467">
        <v>6.3848458443674314</v>
      </c>
      <c r="C467">
        <v>3.2151541556325682</v>
      </c>
    </row>
    <row r="468" spans="1:3" x14ac:dyDescent="0.45">
      <c r="A468">
        <v>441</v>
      </c>
      <c r="B468">
        <v>21.782414932072065</v>
      </c>
      <c r="C468">
        <v>-6.0824149320720657</v>
      </c>
    </row>
    <row r="469" spans="1:3" x14ac:dyDescent="0.45">
      <c r="A469">
        <v>442</v>
      </c>
      <c r="B469">
        <v>14.985487722756194</v>
      </c>
      <c r="C469">
        <v>-6.4854877227561936</v>
      </c>
    </row>
    <row r="470" spans="1:3" x14ac:dyDescent="0.45">
      <c r="A470">
        <v>443</v>
      </c>
      <c r="B470">
        <v>13.661442591672964</v>
      </c>
      <c r="C470">
        <v>-7.9614425916729639</v>
      </c>
    </row>
    <row r="471" spans="1:3" x14ac:dyDescent="0.45">
      <c r="A471">
        <v>444</v>
      </c>
      <c r="B471">
        <v>54.100626812697456</v>
      </c>
      <c r="C471">
        <v>-10.100626812697456</v>
      </c>
    </row>
    <row r="472" spans="1:3" x14ac:dyDescent="0.45">
      <c r="A472">
        <v>445</v>
      </c>
      <c r="B472">
        <v>53.955023251542514</v>
      </c>
      <c r="C472">
        <v>12.144976748457481</v>
      </c>
    </row>
    <row r="473" spans="1:3" x14ac:dyDescent="0.45">
      <c r="A473">
        <v>446</v>
      </c>
      <c r="B473">
        <v>27.817284636994611</v>
      </c>
      <c r="C473">
        <v>-0.81728463699461074</v>
      </c>
    </row>
    <row r="474" spans="1:3" x14ac:dyDescent="0.45">
      <c r="A474">
        <v>447</v>
      </c>
      <c r="B474">
        <v>1.9685133358004392</v>
      </c>
      <c r="C474">
        <v>88.931486664199568</v>
      </c>
    </row>
    <row r="475" spans="1:3" x14ac:dyDescent="0.45">
      <c r="A475">
        <v>448</v>
      </c>
      <c r="B475">
        <v>10.517906968336893</v>
      </c>
      <c r="C475">
        <v>-1.4179069683368937</v>
      </c>
    </row>
    <row r="476" spans="1:3" x14ac:dyDescent="0.45">
      <c r="A476">
        <v>449</v>
      </c>
      <c r="B476">
        <v>43.755795231581033</v>
      </c>
      <c r="C476">
        <v>-30.455795231581032</v>
      </c>
    </row>
    <row r="477" spans="1:3" x14ac:dyDescent="0.45">
      <c r="A477">
        <v>450</v>
      </c>
      <c r="B477">
        <v>6.4642755764113957</v>
      </c>
      <c r="C477">
        <v>-0.56427557641139536</v>
      </c>
    </row>
    <row r="478" spans="1:3" x14ac:dyDescent="0.45">
      <c r="A478">
        <v>451</v>
      </c>
      <c r="B478">
        <v>5.7770344809950984</v>
      </c>
      <c r="C478">
        <v>-0.37703448099509806</v>
      </c>
    </row>
    <row r="479" spans="1:3" x14ac:dyDescent="0.45">
      <c r="A479">
        <v>452</v>
      </c>
      <c r="B479">
        <v>51.765155004971703</v>
      </c>
      <c r="C479">
        <v>-32.365155004971704</v>
      </c>
    </row>
    <row r="480" spans="1:3" x14ac:dyDescent="0.45">
      <c r="A480">
        <v>453</v>
      </c>
      <c r="B480">
        <v>193.00288099316438</v>
      </c>
      <c r="C480">
        <v>25.797119006835629</v>
      </c>
    </row>
    <row r="481" spans="1:3" x14ac:dyDescent="0.45">
      <c r="A481">
        <v>454</v>
      </c>
      <c r="B481">
        <v>86.982612547268303</v>
      </c>
      <c r="C481">
        <v>9.4173874527317025</v>
      </c>
    </row>
    <row r="482" spans="1:3" x14ac:dyDescent="0.45">
      <c r="A482">
        <v>455</v>
      </c>
      <c r="B482">
        <v>24.517271688699172</v>
      </c>
      <c r="C482">
        <v>-9.8172716886991722</v>
      </c>
    </row>
    <row r="483" spans="1:3" x14ac:dyDescent="0.45">
      <c r="A483">
        <v>456</v>
      </c>
      <c r="B483">
        <v>117.36975559461915</v>
      </c>
      <c r="C483">
        <v>-11.969755594619144</v>
      </c>
    </row>
    <row r="484" spans="1:3" x14ac:dyDescent="0.45">
      <c r="A484">
        <v>457</v>
      </c>
      <c r="B484">
        <v>24.135209101478367</v>
      </c>
      <c r="C484">
        <v>-13.035209101478367</v>
      </c>
    </row>
    <row r="485" spans="1:3" x14ac:dyDescent="0.45">
      <c r="A485">
        <v>458</v>
      </c>
      <c r="B485">
        <v>-1.8759544154943857</v>
      </c>
      <c r="C485">
        <v>13.175954415494386</v>
      </c>
    </row>
    <row r="486" spans="1:3" x14ac:dyDescent="0.45">
      <c r="A486">
        <v>459</v>
      </c>
      <c r="B486">
        <v>27.584219571633604</v>
      </c>
      <c r="C486">
        <v>4.2157804283663971</v>
      </c>
    </row>
    <row r="487" spans="1:3" x14ac:dyDescent="0.45">
      <c r="A487">
        <v>460</v>
      </c>
      <c r="B487">
        <v>48.370119120975573</v>
      </c>
      <c r="C487">
        <v>-9.0701191209755763</v>
      </c>
    </row>
    <row r="488" spans="1:3" x14ac:dyDescent="0.45">
      <c r="A488">
        <v>461</v>
      </c>
      <c r="B488">
        <v>25.292778427528646</v>
      </c>
      <c r="C488">
        <v>-14.592778427528646</v>
      </c>
    </row>
    <row r="489" spans="1:3" x14ac:dyDescent="0.45">
      <c r="A489">
        <v>462</v>
      </c>
      <c r="B489">
        <v>23.675969573238365</v>
      </c>
      <c r="C489">
        <v>-4.7759695732383669</v>
      </c>
    </row>
    <row r="490" spans="1:3" x14ac:dyDescent="0.45">
      <c r="A490">
        <v>463</v>
      </c>
      <c r="B490">
        <v>24.547463550042288</v>
      </c>
      <c r="C490">
        <v>-13.747463550042287</v>
      </c>
    </row>
    <row r="491" spans="1:3" x14ac:dyDescent="0.45">
      <c r="A491">
        <v>464</v>
      </c>
      <c r="B491">
        <v>23.153016528670168</v>
      </c>
      <c r="C491">
        <v>-7.5530165286701685</v>
      </c>
    </row>
    <row r="492" spans="1:3" x14ac:dyDescent="0.45">
      <c r="A492">
        <v>465</v>
      </c>
      <c r="B492">
        <v>432.95110860199821</v>
      </c>
      <c r="C492">
        <v>-224.85110860199822</v>
      </c>
    </row>
    <row r="493" spans="1:3" x14ac:dyDescent="0.45">
      <c r="A493">
        <v>466</v>
      </c>
      <c r="B493">
        <v>65.804967075518519</v>
      </c>
      <c r="C493">
        <v>-26.40496707551852</v>
      </c>
    </row>
    <row r="494" spans="1:3" x14ac:dyDescent="0.45">
      <c r="A494">
        <v>467</v>
      </c>
      <c r="B494">
        <v>47.496469584450935</v>
      </c>
      <c r="C494">
        <v>-36.896469584450934</v>
      </c>
    </row>
    <row r="495" spans="1:3" x14ac:dyDescent="0.45">
      <c r="A495">
        <v>468</v>
      </c>
      <c r="B495">
        <v>147.47331459477206</v>
      </c>
      <c r="C495">
        <v>122.52668540522794</v>
      </c>
    </row>
    <row r="496" spans="1:3" x14ac:dyDescent="0.45">
      <c r="A496">
        <v>469</v>
      </c>
      <c r="B496">
        <v>3.2776755764386016</v>
      </c>
      <c r="C496">
        <v>9.5223244235613986</v>
      </c>
    </row>
    <row r="497" spans="1:3" x14ac:dyDescent="0.45">
      <c r="A497">
        <v>470</v>
      </c>
      <c r="B497">
        <v>32.683273146820937</v>
      </c>
      <c r="C497">
        <v>-15.683273146820937</v>
      </c>
    </row>
    <row r="498" spans="1:3" x14ac:dyDescent="0.45">
      <c r="A498">
        <v>471</v>
      </c>
      <c r="B498">
        <v>308.98435387066138</v>
      </c>
      <c r="C498">
        <v>-4.2843538706613913</v>
      </c>
    </row>
    <row r="499" spans="1:3" x14ac:dyDescent="0.45">
      <c r="A499">
        <v>472</v>
      </c>
      <c r="B499">
        <v>73.403115082145845</v>
      </c>
      <c r="C499">
        <v>-2.5031150821458397</v>
      </c>
    </row>
    <row r="500" spans="1:3" x14ac:dyDescent="0.45">
      <c r="A500">
        <v>473</v>
      </c>
      <c r="B500">
        <v>49.557406016634445</v>
      </c>
      <c r="C500">
        <v>-14.057406016634445</v>
      </c>
    </row>
    <row r="501" spans="1:3" x14ac:dyDescent="0.45">
      <c r="A501">
        <v>474</v>
      </c>
      <c r="B501">
        <v>52.902054039312674</v>
      </c>
      <c r="C501">
        <v>-36.802054039312672</v>
      </c>
    </row>
    <row r="502" spans="1:3" x14ac:dyDescent="0.45">
      <c r="A502">
        <v>475</v>
      </c>
      <c r="B502">
        <v>29.614625443621328</v>
      </c>
      <c r="C502">
        <v>-10.71462544362133</v>
      </c>
    </row>
    <row r="503" spans="1:3" x14ac:dyDescent="0.45">
      <c r="A503">
        <v>476</v>
      </c>
      <c r="B503">
        <v>0.99201947302603433</v>
      </c>
      <c r="C503">
        <v>280.50798052697394</v>
      </c>
    </row>
    <row r="504" spans="1:3" x14ac:dyDescent="0.45">
      <c r="A504">
        <v>477</v>
      </c>
      <c r="B504">
        <v>22.249023707347341</v>
      </c>
      <c r="C504">
        <v>-1.3490237073473423</v>
      </c>
    </row>
    <row r="505" spans="1:3" x14ac:dyDescent="0.45">
      <c r="A505">
        <v>478</v>
      </c>
      <c r="B505">
        <v>63.705273842916341</v>
      </c>
      <c r="C505">
        <v>-38.905273842916344</v>
      </c>
    </row>
    <row r="506" spans="1:3" x14ac:dyDescent="0.45">
      <c r="A506">
        <v>479</v>
      </c>
      <c r="B506">
        <v>7.5267648896306936</v>
      </c>
      <c r="C506">
        <v>1.4732351103693064</v>
      </c>
    </row>
    <row r="507" spans="1:3" x14ac:dyDescent="0.45">
      <c r="A507">
        <v>480</v>
      </c>
      <c r="B507">
        <v>29.174386131525551</v>
      </c>
      <c r="C507">
        <v>-12.774386131525553</v>
      </c>
    </row>
    <row r="508" spans="1:3" x14ac:dyDescent="0.45">
      <c r="A508">
        <v>481</v>
      </c>
      <c r="B508">
        <v>20.523250472295999</v>
      </c>
      <c r="C508">
        <v>5.5767495277040027</v>
      </c>
    </row>
    <row r="509" spans="1:3" x14ac:dyDescent="0.45">
      <c r="A509">
        <v>482</v>
      </c>
      <c r="B509">
        <v>43.197293984520257</v>
      </c>
      <c r="C509">
        <v>-30.997293984520258</v>
      </c>
    </row>
    <row r="510" spans="1:3" x14ac:dyDescent="0.45">
      <c r="A510">
        <v>483</v>
      </c>
      <c r="B510">
        <v>49.79968973557331</v>
      </c>
      <c r="C510">
        <v>-24.999689735573309</v>
      </c>
    </row>
    <row r="511" spans="1:3" x14ac:dyDescent="0.45">
      <c r="A511">
        <v>484</v>
      </c>
      <c r="B511">
        <v>40.914192209256314</v>
      </c>
      <c r="C511">
        <v>-20.114192209256313</v>
      </c>
    </row>
    <row r="512" spans="1:3" x14ac:dyDescent="0.45">
      <c r="A512">
        <v>485</v>
      </c>
      <c r="B512">
        <v>23.522999408134986</v>
      </c>
      <c r="C512">
        <v>-11.522999408134986</v>
      </c>
    </row>
    <row r="513" spans="1:3" x14ac:dyDescent="0.45">
      <c r="A513">
        <v>486</v>
      </c>
      <c r="B513">
        <v>37.13911999394184</v>
      </c>
      <c r="C513">
        <v>-18.939119993941841</v>
      </c>
    </row>
    <row r="514" spans="1:3" x14ac:dyDescent="0.45">
      <c r="A514">
        <v>487</v>
      </c>
      <c r="B514">
        <v>40.928845773127428</v>
      </c>
      <c r="C514">
        <v>-19.328845773127426</v>
      </c>
    </row>
    <row r="515" spans="1:3" x14ac:dyDescent="0.45">
      <c r="A515">
        <v>488</v>
      </c>
      <c r="B515">
        <v>14.603219677876798</v>
      </c>
      <c r="C515">
        <v>-6.7032196778767972</v>
      </c>
    </row>
    <row r="516" spans="1:3" x14ac:dyDescent="0.45">
      <c r="A516">
        <v>489</v>
      </c>
      <c r="B516">
        <v>16.804396308463041</v>
      </c>
      <c r="C516">
        <v>0.29560369153696087</v>
      </c>
    </row>
    <row r="517" spans="1:3" x14ac:dyDescent="0.45">
      <c r="A517">
        <v>490</v>
      </c>
      <c r="B517">
        <v>8.8736993214991067</v>
      </c>
      <c r="C517">
        <v>1.926300678500894</v>
      </c>
    </row>
    <row r="518" spans="1:3" x14ac:dyDescent="0.45">
      <c r="A518">
        <v>491</v>
      </c>
      <c r="B518">
        <v>19.366760405529529</v>
      </c>
      <c r="C518">
        <v>-6.4667604055295289</v>
      </c>
    </row>
    <row r="519" spans="1:3" x14ac:dyDescent="0.45">
      <c r="A519">
        <v>492</v>
      </c>
      <c r="B519">
        <v>30.120664314206682</v>
      </c>
      <c r="C519">
        <v>-3.1206643142066817</v>
      </c>
    </row>
    <row r="520" spans="1:3" x14ac:dyDescent="0.45">
      <c r="A520">
        <v>493</v>
      </c>
      <c r="B520">
        <v>22.33207512864475</v>
      </c>
      <c r="C520">
        <v>2.1679248713552504</v>
      </c>
    </row>
    <row r="521" spans="1:3" x14ac:dyDescent="0.45">
      <c r="A521">
        <v>494</v>
      </c>
      <c r="B521">
        <v>4.1564932885584884</v>
      </c>
      <c r="C521">
        <v>6.5435067114415109</v>
      </c>
    </row>
    <row r="522" spans="1:3" ht="14.65" thickBot="1" x14ac:dyDescent="0.5">
      <c r="A522" s="6">
        <v>495</v>
      </c>
      <c r="B522" s="6">
        <v>30.050990211630804</v>
      </c>
      <c r="C522" s="6">
        <v>5.9490097883691959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134C1A-8732-457F-AF46-033B45B645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constituents-financials_csv</vt:lpstr>
      <vt:lpstr>Pivot Charts with Slicer</vt:lpstr>
      <vt:lpstr>Pivot Chart</vt:lpstr>
      <vt:lpstr>Pareto</vt:lpstr>
      <vt:lpstr>Forecasting Data</vt:lpstr>
      <vt:lpstr>Model 1</vt:lpstr>
      <vt:lpstr>Model 2</vt:lpstr>
      <vt:lpstr>Model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Pl</dc:creator>
  <cp:lastModifiedBy>PETROS PLATIS</cp:lastModifiedBy>
  <dcterms:created xsi:type="dcterms:W3CDTF">2015-06-05T18:17:20Z</dcterms:created>
  <dcterms:modified xsi:type="dcterms:W3CDTF">2026-08-31T20:04:40Z</dcterms:modified>
</cp:coreProperties>
</file>